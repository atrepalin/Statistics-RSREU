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909499-8B68-4B01-A6F2-94C9099A147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Пример 4" sheetId="4" r:id="rId1"/>
    <sheet name="Пример 5" sheetId="3" r:id="rId2"/>
    <sheet name="Пример 6" sheetId="2" r:id="rId3"/>
    <sheet name="Пример 7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5" l="1"/>
  <c r="B49" i="2"/>
  <c r="E36" i="5"/>
  <c r="B36" i="5"/>
  <c r="B46" i="5"/>
  <c r="B47" i="5" s="1"/>
  <c r="C28" i="5"/>
  <c r="C36" i="5" s="1"/>
  <c r="D28" i="5"/>
  <c r="D36" i="5" s="1"/>
  <c r="E28" i="5"/>
  <c r="F28" i="5"/>
  <c r="F36" i="5" s="1"/>
  <c r="G28" i="5"/>
  <c r="G36" i="5" s="1"/>
  <c r="H28" i="5"/>
  <c r="H36" i="5" s="1"/>
  <c r="I28" i="5"/>
  <c r="J28" i="5"/>
  <c r="B28" i="5"/>
  <c r="C27" i="5"/>
  <c r="D27" i="5"/>
  <c r="E27" i="5"/>
  <c r="F27" i="5"/>
  <c r="G27" i="5"/>
  <c r="H27" i="5"/>
  <c r="I27" i="5"/>
  <c r="J27" i="5"/>
  <c r="B27" i="5"/>
  <c r="B22" i="5"/>
  <c r="B23" i="5"/>
  <c r="B24" i="5" s="1"/>
  <c r="B48" i="2"/>
  <c r="D39" i="2"/>
  <c r="D40" i="2"/>
  <c r="D36" i="2"/>
  <c r="D24" i="2"/>
  <c r="D25" i="2"/>
  <c r="D37" i="2" s="1"/>
  <c r="D26" i="2"/>
  <c r="D38" i="2" s="1"/>
  <c r="D27" i="2"/>
  <c r="D28" i="2"/>
  <c r="D29" i="2"/>
  <c r="D41" i="2" s="1"/>
  <c r="D30" i="2"/>
  <c r="D23" i="2"/>
  <c r="C24" i="2"/>
  <c r="C36" i="2" s="1"/>
  <c r="C23" i="2"/>
  <c r="B25" i="2"/>
  <c r="B37" i="2" s="1"/>
  <c r="B26" i="2"/>
  <c r="B38" i="2" s="1"/>
  <c r="B23" i="2"/>
  <c r="B36" i="2" s="1"/>
  <c r="S14" i="2"/>
  <c r="W5" i="2"/>
  <c r="V6" i="2"/>
  <c r="V7" i="2" s="1"/>
  <c r="V5" i="2"/>
  <c r="U12" i="2"/>
  <c r="D5" i="2"/>
  <c r="E5" i="2" s="1"/>
  <c r="B15" i="2"/>
  <c r="L44" i="4"/>
  <c r="K44" i="4"/>
  <c r="J44" i="4"/>
  <c r="I44" i="4"/>
  <c r="H44" i="4"/>
  <c r="G44" i="4"/>
  <c r="F44" i="4"/>
  <c r="E44" i="4"/>
  <c r="D44" i="4"/>
  <c r="C44" i="4"/>
  <c r="B44" i="4"/>
  <c r="B45" i="4" s="1"/>
  <c r="B46" i="4" s="1"/>
  <c r="L43" i="4"/>
  <c r="K43" i="4"/>
  <c r="J43" i="4"/>
  <c r="I43" i="4"/>
  <c r="H43" i="4"/>
  <c r="G43" i="4"/>
  <c r="F43" i="4"/>
  <c r="E43" i="4"/>
  <c r="D43" i="4"/>
  <c r="C43" i="4"/>
  <c r="B43" i="4"/>
  <c r="C34" i="4"/>
  <c r="C35" i="4" s="1"/>
  <c r="L17" i="4"/>
  <c r="K17" i="4"/>
  <c r="J17" i="4"/>
  <c r="J24" i="4" s="1"/>
  <c r="I17" i="4"/>
  <c r="I24" i="4" s="1"/>
  <c r="H17" i="4"/>
  <c r="H24" i="4" s="1"/>
  <c r="G17" i="4"/>
  <c r="G24" i="4" s="1"/>
  <c r="F17" i="4"/>
  <c r="F24" i="4" s="1"/>
  <c r="E17" i="4"/>
  <c r="E24" i="4" s="1"/>
  <c r="D17" i="4"/>
  <c r="D24" i="4" s="1"/>
  <c r="C17" i="4"/>
  <c r="C24" i="4" s="1"/>
  <c r="B17" i="4"/>
  <c r="B24" i="4" s="1"/>
  <c r="L16" i="4"/>
  <c r="K16" i="4"/>
  <c r="J16" i="4"/>
  <c r="I16" i="4"/>
  <c r="H16" i="4"/>
  <c r="G16" i="4"/>
  <c r="F16" i="4"/>
  <c r="E16" i="4"/>
  <c r="D16" i="4"/>
  <c r="C16" i="4"/>
  <c r="B16" i="4"/>
  <c r="B8" i="4"/>
  <c r="B7" i="4"/>
  <c r="B9" i="4" s="1"/>
  <c r="J5" i="4" s="1"/>
  <c r="B48" i="3"/>
  <c r="B49" i="3" s="1"/>
  <c r="D37" i="3"/>
  <c r="D27" i="3"/>
  <c r="D63" i="3" s="1"/>
  <c r="D26" i="3"/>
  <c r="D62" i="3" s="1"/>
  <c r="D25" i="3"/>
  <c r="D61" i="3" s="1"/>
  <c r="D24" i="3"/>
  <c r="D35" i="3" s="1"/>
  <c r="D23" i="3"/>
  <c r="D59" i="3" s="1"/>
  <c r="D22" i="3"/>
  <c r="D58" i="3" s="1"/>
  <c r="D21" i="3"/>
  <c r="C21" i="3"/>
  <c r="C32" i="3" s="1"/>
  <c r="B21" i="3"/>
  <c r="B57" i="3" s="1"/>
  <c r="B13" i="3"/>
  <c r="B65" i="3" s="1"/>
  <c r="B6" i="3"/>
  <c r="C22" i="3" s="1"/>
  <c r="A6" i="3"/>
  <c r="D5" i="3"/>
  <c r="E5" i="3" s="1"/>
  <c r="R7" i="2"/>
  <c r="R8" i="2" s="1"/>
  <c r="R9" i="2" s="1"/>
  <c r="C27" i="2" s="1"/>
  <c r="R6" i="2"/>
  <c r="S6" i="2" s="1"/>
  <c r="Q6" i="2"/>
  <c r="Q7" i="2" s="1"/>
  <c r="Q8" i="2" s="1"/>
  <c r="Q9" i="2" s="1"/>
  <c r="B6" i="2"/>
  <c r="A6" i="2"/>
  <c r="A7" i="2" s="1"/>
  <c r="S5" i="2"/>
  <c r="V8" i="2" l="1"/>
  <c r="W7" i="2"/>
  <c r="C39" i="2"/>
  <c r="U11" i="2"/>
  <c r="C26" i="2"/>
  <c r="U10" i="2"/>
  <c r="C25" i="2"/>
  <c r="U5" i="2"/>
  <c r="U6" i="2"/>
  <c r="U7" i="2"/>
  <c r="U8" i="2"/>
  <c r="U9" i="2"/>
  <c r="D57" i="3"/>
  <c r="F57" i="3" s="1"/>
  <c r="D32" i="3"/>
  <c r="C45" i="4"/>
  <c r="W6" i="2"/>
  <c r="D6" i="3"/>
  <c r="E6" i="3" s="1"/>
  <c r="D6" i="2"/>
  <c r="E6" i="2" s="1"/>
  <c r="I36" i="5"/>
  <c r="Q10" i="2"/>
  <c r="B27" i="2"/>
  <c r="B51" i="4"/>
  <c r="B24" i="2"/>
  <c r="H29" i="5"/>
  <c r="H30" i="5" s="1"/>
  <c r="G29" i="5"/>
  <c r="G30" i="5" s="1"/>
  <c r="F29" i="5"/>
  <c r="F30" i="5" s="1"/>
  <c r="E29" i="5"/>
  <c r="E30" i="5" s="1"/>
  <c r="J29" i="5"/>
  <c r="J30" i="5" s="1"/>
  <c r="B30" i="5"/>
  <c r="I29" i="5"/>
  <c r="I30" i="5" s="1"/>
  <c r="D29" i="5"/>
  <c r="D30" i="5" s="1"/>
  <c r="C29" i="5"/>
  <c r="C30" i="5" s="1"/>
  <c r="K24" i="4"/>
  <c r="B7" i="2"/>
  <c r="D7" i="2" s="1"/>
  <c r="E7" i="2" s="1"/>
  <c r="D33" i="3"/>
  <c r="D36" i="3"/>
  <c r="C5" i="4"/>
  <c r="K5" i="4"/>
  <c r="E5" i="4"/>
  <c r="I5" i="4"/>
  <c r="G5" i="4"/>
  <c r="D5" i="4"/>
  <c r="H5" i="4"/>
  <c r="L5" i="4"/>
  <c r="B5" i="4"/>
  <c r="F5" i="4"/>
  <c r="C58" i="3"/>
  <c r="E58" i="3" s="1"/>
  <c r="C33" i="3"/>
  <c r="A7" i="3"/>
  <c r="B22" i="3"/>
  <c r="D38" i="3"/>
  <c r="C57" i="3"/>
  <c r="E57" i="3" s="1"/>
  <c r="B7" i="3"/>
  <c r="B32" i="3"/>
  <c r="D34" i="3"/>
  <c r="D60" i="3"/>
  <c r="R10" i="2"/>
  <c r="C28" i="2" s="1"/>
  <c r="S9" i="2"/>
  <c r="A8" i="2"/>
  <c r="B8" i="2"/>
  <c r="S8" i="2"/>
  <c r="S7" i="2"/>
  <c r="F58" i="3" l="1"/>
  <c r="G57" i="3"/>
  <c r="B39" i="2"/>
  <c r="C40" i="2"/>
  <c r="Q11" i="2"/>
  <c r="B28" i="2"/>
  <c r="C37" i="2"/>
  <c r="C38" i="2"/>
  <c r="V9" i="2"/>
  <c r="W8" i="2"/>
  <c r="D8" i="2"/>
  <c r="E8" i="2" s="1"/>
  <c r="K30" i="5"/>
  <c r="G31" i="5" s="1"/>
  <c r="G37" i="5" s="1"/>
  <c r="G38" i="5" s="1"/>
  <c r="D45" i="4"/>
  <c r="C46" i="4"/>
  <c r="J31" i="5"/>
  <c r="B10" i="4"/>
  <c r="B11" i="4" s="1"/>
  <c r="C23" i="3"/>
  <c r="B8" i="3"/>
  <c r="B33" i="3"/>
  <c r="B58" i="3"/>
  <c r="D7" i="3"/>
  <c r="E7" i="3" s="1"/>
  <c r="B23" i="3"/>
  <c r="A8" i="3"/>
  <c r="B9" i="2"/>
  <c r="A9" i="2"/>
  <c r="D9" i="2" s="1"/>
  <c r="R11" i="2"/>
  <c r="C29" i="2" s="1"/>
  <c r="S10" i="2"/>
  <c r="C31" i="5" l="1"/>
  <c r="C37" i="5" s="1"/>
  <c r="C38" i="5" s="1"/>
  <c r="E31" i="5"/>
  <c r="E37" i="5" s="1"/>
  <c r="E38" i="5" s="1"/>
  <c r="D31" i="5"/>
  <c r="D37" i="5" s="1"/>
  <c r="D38" i="5" s="1"/>
  <c r="H31" i="5"/>
  <c r="H37" i="5" s="1"/>
  <c r="H38" i="5" s="1"/>
  <c r="I31" i="5"/>
  <c r="I37" i="5" s="1"/>
  <c r="I38" i="5" s="1"/>
  <c r="F31" i="5"/>
  <c r="F37" i="5" s="1"/>
  <c r="F38" i="5" s="1"/>
  <c r="H48" i="4"/>
  <c r="J47" i="4"/>
  <c r="E47" i="4"/>
  <c r="G48" i="4"/>
  <c r="K48" i="4"/>
  <c r="G47" i="4"/>
  <c r="E48" i="4"/>
  <c r="I47" i="4"/>
  <c r="B47" i="4"/>
  <c r="K47" i="4"/>
  <c r="F47" i="4"/>
  <c r="B48" i="4"/>
  <c r="B49" i="4" s="1"/>
  <c r="J48" i="4"/>
  <c r="L47" i="4"/>
  <c r="C47" i="4"/>
  <c r="D48" i="4"/>
  <c r="I48" i="4"/>
  <c r="D47" i="4"/>
  <c r="L48" i="4"/>
  <c r="H47" i="4"/>
  <c r="C48" i="4"/>
  <c r="C49" i="4" s="1"/>
  <c r="F48" i="4"/>
  <c r="V10" i="2"/>
  <c r="W9" i="2"/>
  <c r="E45" i="4"/>
  <c r="D46" i="4"/>
  <c r="D49" i="4" s="1"/>
  <c r="B31" i="5"/>
  <c r="B37" i="5" s="1"/>
  <c r="B38" i="5" s="1"/>
  <c r="B40" i="2"/>
  <c r="Q12" i="2"/>
  <c r="B30" i="2" s="1"/>
  <c r="B29" i="2"/>
  <c r="F59" i="3"/>
  <c r="G58" i="3"/>
  <c r="E9" i="2"/>
  <c r="D18" i="4"/>
  <c r="D19" i="4" s="1"/>
  <c r="D20" i="4" s="1"/>
  <c r="B18" i="4"/>
  <c r="B19" i="4" s="1"/>
  <c r="B20" i="4" s="1"/>
  <c r="C18" i="4"/>
  <c r="C19" i="4" s="1"/>
  <c r="H18" i="4"/>
  <c r="H19" i="4" s="1"/>
  <c r="H20" i="4" s="1"/>
  <c r="E18" i="4"/>
  <c r="E19" i="4" s="1"/>
  <c r="E20" i="4" s="1"/>
  <c r="J18" i="4"/>
  <c r="J19" i="4" s="1"/>
  <c r="J20" i="4" s="1"/>
  <c r="G18" i="4"/>
  <c r="G19" i="4" s="1"/>
  <c r="G20" i="4" s="1"/>
  <c r="L18" i="4"/>
  <c r="L19" i="4" s="1"/>
  <c r="L20" i="4" s="1"/>
  <c r="I18" i="4"/>
  <c r="I19" i="4" s="1"/>
  <c r="K18" i="4"/>
  <c r="K19" i="4" s="1"/>
  <c r="K20" i="4" s="1"/>
  <c r="C20" i="4"/>
  <c r="I20" i="4"/>
  <c r="F18" i="4"/>
  <c r="F19" i="4" s="1"/>
  <c r="F20" i="4" s="1"/>
  <c r="B24" i="3"/>
  <c r="D8" i="3"/>
  <c r="E8" i="3" s="1"/>
  <c r="A9" i="3"/>
  <c r="C59" i="3"/>
  <c r="E59" i="3" s="1"/>
  <c r="C34" i="3"/>
  <c r="B59" i="3"/>
  <c r="B34" i="3"/>
  <c r="B9" i="3"/>
  <c r="C24" i="3"/>
  <c r="R12" i="2"/>
  <c r="S11" i="2"/>
  <c r="A10" i="2"/>
  <c r="B10" i="2"/>
  <c r="K31" i="5" l="1"/>
  <c r="V11" i="2"/>
  <c r="W10" i="2"/>
  <c r="F60" i="3"/>
  <c r="G59" i="3"/>
  <c r="B41" i="2"/>
  <c r="B41" i="5"/>
  <c r="F45" i="4"/>
  <c r="E46" i="4"/>
  <c r="E49" i="4" s="1"/>
  <c r="S12" i="2"/>
  <c r="C30" i="2"/>
  <c r="D10" i="2"/>
  <c r="M20" i="4"/>
  <c r="J21" i="4" s="1"/>
  <c r="J25" i="4" s="1"/>
  <c r="J26" i="4" s="1"/>
  <c r="B10" i="3"/>
  <c r="C25" i="3"/>
  <c r="B60" i="3"/>
  <c r="B35" i="3"/>
  <c r="C35" i="3"/>
  <c r="C60" i="3"/>
  <c r="E60" i="3" s="1"/>
  <c r="D9" i="3"/>
  <c r="E9" i="3" s="1"/>
  <c r="B25" i="3"/>
  <c r="A10" i="3"/>
  <c r="A11" i="2"/>
  <c r="B11" i="2"/>
  <c r="C41" i="2" l="1"/>
  <c r="G60" i="3"/>
  <c r="F61" i="3"/>
  <c r="G45" i="4"/>
  <c r="F46" i="4"/>
  <c r="F49" i="4" s="1"/>
  <c r="V12" i="2"/>
  <c r="W12" i="2" s="1"/>
  <c r="W11" i="2"/>
  <c r="B21" i="4"/>
  <c r="L21" i="4"/>
  <c r="K21" i="4"/>
  <c r="K25" i="4" s="1"/>
  <c r="K26" i="4" s="1"/>
  <c r="E21" i="4"/>
  <c r="E25" i="4" s="1"/>
  <c r="E26" i="4" s="1"/>
  <c r="D11" i="2"/>
  <c r="E10" i="2"/>
  <c r="G21" i="4"/>
  <c r="G25" i="4" s="1"/>
  <c r="G26" i="4" s="1"/>
  <c r="B25" i="4"/>
  <c r="B26" i="4" s="1"/>
  <c r="C21" i="4"/>
  <c r="C25" i="4" s="1"/>
  <c r="C26" i="4" s="1"/>
  <c r="H21" i="4"/>
  <c r="H25" i="4" s="1"/>
  <c r="H26" i="4" s="1"/>
  <c r="D21" i="4"/>
  <c r="D25" i="4" s="1"/>
  <c r="D26" i="4" s="1"/>
  <c r="I21" i="4"/>
  <c r="I25" i="4" s="1"/>
  <c r="I26" i="4" s="1"/>
  <c r="F21" i="4"/>
  <c r="F25" i="4" s="1"/>
  <c r="F26" i="4" s="1"/>
  <c r="D10" i="3"/>
  <c r="E10" i="3" s="1"/>
  <c r="B26" i="3"/>
  <c r="A11" i="3"/>
  <c r="B61" i="3"/>
  <c r="B36" i="3"/>
  <c r="C36" i="3"/>
  <c r="C61" i="3"/>
  <c r="E61" i="3" s="1"/>
  <c r="C26" i="3"/>
  <c r="B11" i="3"/>
  <c r="C27" i="3" s="1"/>
  <c r="C63" i="3" s="1"/>
  <c r="E63" i="3" s="1"/>
  <c r="B12" i="2"/>
  <c r="A12" i="2"/>
  <c r="H45" i="4" l="1"/>
  <c r="G46" i="4"/>
  <c r="G49" i="4" s="1"/>
  <c r="D12" i="2"/>
  <c r="E12" i="2" s="1"/>
  <c r="F62" i="3"/>
  <c r="G61" i="3"/>
  <c r="E11" i="2"/>
  <c r="B16" i="2" s="1"/>
  <c r="C29" i="4"/>
  <c r="M21" i="4"/>
  <c r="D11" i="3"/>
  <c r="E11" i="3" s="1"/>
  <c r="B14" i="3" s="1"/>
  <c r="B15" i="3" s="1"/>
  <c r="B27" i="3"/>
  <c r="B37" i="3"/>
  <c r="B62" i="3"/>
  <c r="C37" i="3"/>
  <c r="C62" i="3"/>
  <c r="E62" i="3" s="1"/>
  <c r="H59" i="3" l="1"/>
  <c r="I59" i="3" s="1"/>
  <c r="H60" i="3"/>
  <c r="I60" i="3" s="1"/>
  <c r="H61" i="3"/>
  <c r="I61" i="3" s="1"/>
  <c r="H62" i="3"/>
  <c r="H58" i="3"/>
  <c r="I58" i="3" s="1"/>
  <c r="H63" i="3"/>
  <c r="H57" i="3"/>
  <c r="I57" i="3" s="1"/>
  <c r="F63" i="3"/>
  <c r="G63" i="3" s="1"/>
  <c r="G62" i="3"/>
  <c r="I45" i="4"/>
  <c r="H46" i="4"/>
  <c r="H49" i="4" s="1"/>
  <c r="F5" i="2"/>
  <c r="F6" i="2"/>
  <c r="F7" i="2"/>
  <c r="F8" i="2"/>
  <c r="F9" i="2"/>
  <c r="F10" i="2"/>
  <c r="F11" i="2"/>
  <c r="F12" i="2"/>
  <c r="B38" i="3"/>
  <c r="B63" i="3"/>
  <c r="E25" i="3"/>
  <c r="F25" i="3" s="1"/>
  <c r="E36" i="3" s="1"/>
  <c r="F36" i="3" s="1"/>
  <c r="E21" i="3"/>
  <c r="E24" i="3"/>
  <c r="F24" i="3" s="1"/>
  <c r="E35" i="3" s="1"/>
  <c r="F35" i="3" s="1"/>
  <c r="E27" i="3"/>
  <c r="F27" i="3" s="1"/>
  <c r="E23" i="3"/>
  <c r="F23" i="3" s="1"/>
  <c r="E34" i="3" s="1"/>
  <c r="F34" i="3" s="1"/>
  <c r="E26" i="3"/>
  <c r="F26" i="3" s="1"/>
  <c r="E37" i="3" s="1"/>
  <c r="F37" i="3" s="1"/>
  <c r="E22" i="3"/>
  <c r="F22" i="3" s="1"/>
  <c r="E33" i="3" s="1"/>
  <c r="F33" i="3" s="1"/>
  <c r="B66" i="3" l="1"/>
  <c r="B67" i="3" s="1"/>
  <c r="I63" i="3"/>
  <c r="I62" i="3"/>
  <c r="J45" i="4"/>
  <c r="I46" i="4"/>
  <c r="I49" i="4" s="1"/>
  <c r="B17" i="2"/>
  <c r="B18" i="2" s="1"/>
  <c r="E28" i="3"/>
  <c r="F21" i="3"/>
  <c r="Y6" i="2" l="1"/>
  <c r="Z6" i="2" s="1"/>
  <c r="E26" i="2"/>
  <c r="Y7" i="2"/>
  <c r="Z7" i="2" s="1"/>
  <c r="E30" i="2"/>
  <c r="Y9" i="2"/>
  <c r="Z9" i="2" s="1"/>
  <c r="Y5" i="2"/>
  <c r="Z5" i="2" s="1"/>
  <c r="Y8" i="2"/>
  <c r="Z8" i="2" s="1"/>
  <c r="F28" i="2"/>
  <c r="G28" i="2" s="1"/>
  <c r="Y11" i="2"/>
  <c r="Z11" i="2" s="1"/>
  <c r="X5" i="2"/>
  <c r="X9" i="2"/>
  <c r="E29" i="2"/>
  <c r="X6" i="2"/>
  <c r="E24" i="2"/>
  <c r="E25" i="2"/>
  <c r="F25" i="2"/>
  <c r="G25" i="2" s="1"/>
  <c r="X7" i="2"/>
  <c r="X11" i="2"/>
  <c r="F23" i="2"/>
  <c r="G23" i="2" s="1"/>
  <c r="F29" i="2"/>
  <c r="G29" i="2" s="1"/>
  <c r="F27" i="2"/>
  <c r="X8" i="2"/>
  <c r="Y10" i="2"/>
  <c r="Z10" i="2" s="1"/>
  <c r="X12" i="2"/>
  <c r="E23" i="2"/>
  <c r="F26" i="2"/>
  <c r="G26" i="2" s="1"/>
  <c r="X10" i="2"/>
  <c r="F30" i="2"/>
  <c r="G30" i="2" s="1"/>
  <c r="H30" i="2" s="1"/>
  <c r="F24" i="2"/>
  <c r="E27" i="2"/>
  <c r="E28" i="2"/>
  <c r="Y12" i="2"/>
  <c r="Z12" i="2" s="1"/>
  <c r="K45" i="4"/>
  <c r="J46" i="4"/>
  <c r="J49" i="4" s="1"/>
  <c r="F28" i="3"/>
  <c r="H28" i="3" s="1"/>
  <c r="E38" i="3" s="1"/>
  <c r="F38" i="3" s="1"/>
  <c r="E32" i="3"/>
  <c r="E40" i="2" l="1"/>
  <c r="H28" i="2"/>
  <c r="E37" i="2"/>
  <c r="H25" i="2"/>
  <c r="G27" i="2"/>
  <c r="G24" i="2"/>
  <c r="H24" i="2" s="1"/>
  <c r="E41" i="2"/>
  <c r="H29" i="2"/>
  <c r="E38" i="2"/>
  <c r="H26" i="2"/>
  <c r="S15" i="2"/>
  <c r="S16" i="2" s="1"/>
  <c r="H23" i="2"/>
  <c r="L45" i="4"/>
  <c r="L46" i="4" s="1"/>
  <c r="L49" i="4" s="1"/>
  <c r="K46" i="4"/>
  <c r="K49" i="4" s="1"/>
  <c r="E39" i="3"/>
  <c r="F32" i="3"/>
  <c r="B43" i="3" s="1"/>
  <c r="B52" i="4" l="1"/>
  <c r="B53" i="4" s="1"/>
  <c r="G31" i="2"/>
  <c r="E39" i="2"/>
  <c r="H27" i="2"/>
  <c r="H31" i="2" s="1"/>
  <c r="E36" i="2"/>
  <c r="F37" i="2" l="1"/>
  <c r="G37" i="2" s="1"/>
  <c r="F38" i="2"/>
  <c r="G38" i="2" s="1"/>
  <c r="F40" i="2"/>
  <c r="G40" i="2" s="1"/>
  <c r="F41" i="2"/>
  <c r="G41" i="2" s="1"/>
  <c r="F36" i="2"/>
  <c r="F39" i="2"/>
  <c r="G39" i="2" s="1"/>
  <c r="F42" i="2" l="1"/>
  <c r="G36" i="2"/>
  <c r="B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M20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нужна нормировка: 
</t>
        </r>
        <r>
          <rPr>
            <sz val="9"/>
            <color indexed="81"/>
            <rFont val="Tahoma"/>
            <family val="2"/>
            <charset val="204"/>
          </rPr>
          <t xml:space="preserve">у нормального распределения есть вероятность и за пределами [0,3; 2,3]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E28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расширим последний интервал</t>
        </r>
        <r>
          <rPr>
            <sz val="9"/>
            <color indexed="81"/>
            <rFont val="Tahoma"/>
            <family val="2"/>
            <charset val="204"/>
          </rPr>
          <t>: остаток вероятности 
(1−0.97=0.03) приходится на интервал t&gt;70</t>
        </r>
      </text>
    </comment>
  </commentList>
</comments>
</file>

<file path=xl/sharedStrings.xml><?xml version="1.0" encoding="utf-8"?>
<sst xmlns="http://schemas.openxmlformats.org/spreadsheetml/2006/main" count="205" uniqueCount="83">
  <si>
    <t>Выработка в % к предыдущему</t>
  </si>
  <si>
    <r>
      <t>Частота (</t>
    </r>
    <r>
      <rPr>
        <b/>
        <sz val="11"/>
        <color indexed="8"/>
        <rFont val="Mathcad UniMath"/>
        <family val="3"/>
      </rPr>
      <t>n</t>
    </r>
    <r>
      <rPr>
        <b/>
        <vertAlign val="subscript"/>
        <sz val="11"/>
        <color indexed="8"/>
        <rFont val="Mathcad UniMath"/>
        <family val="3"/>
      </rPr>
      <t>i</t>
    </r>
    <r>
      <rPr>
        <b/>
        <sz val="11"/>
        <color indexed="8"/>
        <rFont val="Calibri"/>
        <family val="2"/>
        <charset val="204"/>
      </rPr>
      <t xml:space="preserve">) </t>
    </r>
  </si>
  <si>
    <t>Середина интервала</t>
  </si>
  <si>
    <r>
      <t>x</t>
    </r>
    <r>
      <rPr>
        <b/>
        <i/>
        <vertAlign val="subscript"/>
        <sz val="12"/>
        <color indexed="8"/>
        <rFont val="Times New Roman"/>
        <family val="1"/>
        <charset val="204"/>
      </rPr>
      <t>i</t>
    </r>
    <r>
      <rPr>
        <b/>
        <i/>
        <sz val="12"/>
        <color indexed="8"/>
        <rFont val="Times New Roman"/>
        <family val="1"/>
        <charset val="204"/>
      </rPr>
      <t>n</t>
    </r>
    <r>
      <rPr>
        <b/>
        <i/>
        <vertAlign val="subscript"/>
        <sz val="12"/>
        <color indexed="8"/>
        <rFont val="Times New Roman"/>
        <family val="1"/>
        <charset val="204"/>
      </rPr>
      <t>i</t>
    </r>
  </si>
  <si>
    <r>
      <t>(x</t>
    </r>
    <r>
      <rPr>
        <i/>
        <vertAlign val="subscript"/>
        <sz val="12"/>
        <color indexed="8"/>
        <rFont val="Cambria"/>
        <family val="1"/>
        <charset val="204"/>
      </rPr>
      <t>ср</t>
    </r>
    <r>
      <rPr>
        <i/>
        <sz val="12"/>
        <color indexed="8"/>
        <rFont val="Cambria"/>
        <family val="1"/>
        <charset val="204"/>
      </rPr>
      <t>-x</t>
    </r>
    <r>
      <rPr>
        <i/>
        <vertAlign val="subscript"/>
        <sz val="12"/>
        <color indexed="8"/>
        <rFont val="Cambria"/>
        <family val="1"/>
        <charset val="204"/>
      </rPr>
      <t>i</t>
    </r>
    <r>
      <rPr>
        <i/>
        <sz val="12"/>
        <color indexed="8"/>
        <rFont val="Cambria"/>
        <family val="1"/>
        <charset val="204"/>
      </rPr>
      <t>)</t>
    </r>
    <r>
      <rPr>
        <i/>
        <vertAlign val="superscript"/>
        <sz val="12"/>
        <color indexed="8"/>
        <rFont val="Cambria"/>
        <family val="1"/>
        <charset val="204"/>
      </rPr>
      <t>2</t>
    </r>
    <r>
      <rPr>
        <i/>
        <sz val="12"/>
        <color indexed="8"/>
        <rFont val="Cambria"/>
        <family val="1"/>
        <charset val="204"/>
      </rPr>
      <t>n</t>
    </r>
    <r>
      <rPr>
        <i/>
        <vertAlign val="subscript"/>
        <sz val="12"/>
        <color indexed="8"/>
        <rFont val="Cambria"/>
        <family val="1"/>
        <charset val="204"/>
      </rPr>
      <t>i</t>
    </r>
  </si>
  <si>
    <t>Правая граница</t>
  </si>
  <si>
    <t>Частость</t>
  </si>
  <si>
    <t>Нак. частота</t>
  </si>
  <si>
    <r>
      <t>Нак. частость, F</t>
    </r>
    <r>
      <rPr>
        <b/>
        <vertAlign val="subscript"/>
        <sz val="11"/>
        <color indexed="8"/>
        <rFont val="Calibri"/>
        <family val="2"/>
        <charset val="204"/>
      </rPr>
      <t>n</t>
    </r>
    <r>
      <rPr>
        <b/>
        <sz val="11"/>
        <color indexed="8"/>
        <rFont val="Calibri"/>
        <family val="2"/>
        <charset val="204"/>
      </rPr>
      <t>(x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)</t>
    </r>
  </si>
  <si>
    <t>пр.гр-ср</t>
  </si>
  <si>
    <r>
      <t>F(x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)</t>
    </r>
  </si>
  <si>
    <t>Модуль откл</t>
  </si>
  <si>
    <t>[начало;</t>
  </si>
  <si>
    <t>конец)</t>
  </si>
  <si>
    <t>ст.откл</t>
  </si>
  <si>
    <t>n=</t>
  </si>
  <si>
    <t>n</t>
  </si>
  <si>
    <r>
      <t>Гипотеза H</t>
    </r>
    <r>
      <rPr>
        <b/>
        <vertAlign val="subscript"/>
        <sz val="11"/>
        <color indexed="8"/>
        <rFont val="Calibri"/>
        <family val="2"/>
        <charset val="204"/>
      </rPr>
      <t>0</t>
    </r>
  </si>
  <si>
    <r>
      <t>D</t>
    </r>
    <r>
      <rPr>
        <b/>
        <vertAlign val="subscript"/>
        <sz val="11"/>
        <color indexed="8"/>
        <rFont val="Calibri"/>
        <family val="2"/>
        <charset val="204"/>
      </rPr>
      <t>n</t>
    </r>
    <r>
      <rPr>
        <b/>
        <sz val="11"/>
        <color indexed="8"/>
        <rFont val="Calibri"/>
        <family val="2"/>
        <charset val="204"/>
      </rPr>
      <t>=</t>
    </r>
  </si>
  <si>
    <r>
      <t>D</t>
    </r>
    <r>
      <rPr>
        <b/>
        <vertAlign val="subscript"/>
        <sz val="11"/>
        <color indexed="8"/>
        <rFont val="Calibri"/>
        <family val="2"/>
        <charset val="204"/>
      </rPr>
      <t>n,</t>
    </r>
    <r>
      <rPr>
        <b/>
        <vertAlign val="subscript"/>
        <sz val="11"/>
        <color indexed="8"/>
        <rFont val="Calibri"/>
        <family val="2"/>
        <charset val="204"/>
      </rPr>
      <t>α</t>
    </r>
    <r>
      <rPr>
        <b/>
        <sz val="11"/>
        <color indexed="8"/>
        <rFont val="Calibri"/>
        <family val="2"/>
        <charset val="204"/>
      </rPr>
      <t>=</t>
    </r>
  </si>
  <si>
    <t>Среднее</t>
  </si>
  <si>
    <r>
      <rPr>
        <b/>
        <sz val="11"/>
        <color indexed="8"/>
        <rFont val="Symbol"/>
        <family val="1"/>
        <charset val="2"/>
      </rPr>
      <t>l</t>
    </r>
    <r>
      <rPr>
        <b/>
        <sz val="11"/>
        <color indexed="8"/>
        <rFont val="Calibri"/>
        <family val="2"/>
        <charset val="204"/>
      </rPr>
      <t>=</t>
    </r>
  </si>
  <si>
    <t>Дисперсия</t>
  </si>
  <si>
    <t>α=</t>
  </si>
  <si>
    <t xml:space="preserve"> - уровень значимости</t>
  </si>
  <si>
    <t>Кв.отклон</t>
  </si>
  <si>
    <r>
      <rPr>
        <b/>
        <sz val="11"/>
        <color indexed="8"/>
        <rFont val="Symbol"/>
        <family val="1"/>
        <charset val="2"/>
      </rPr>
      <t>l</t>
    </r>
    <r>
      <rPr>
        <b/>
        <vertAlign val="subscript"/>
        <sz val="11"/>
        <color indexed="8"/>
        <rFont val="Calibri"/>
        <family val="2"/>
        <charset val="204"/>
      </rPr>
      <t>кр</t>
    </r>
    <r>
      <rPr>
        <b/>
        <sz val="11"/>
        <color indexed="8"/>
        <rFont val="Calibri"/>
        <family val="2"/>
        <charset val="204"/>
      </rPr>
      <t>=</t>
    </r>
  </si>
  <si>
    <t>Номер промежутка</t>
  </si>
  <si>
    <t>Концы промежутка</t>
  </si>
  <si>
    <r>
      <t>n</t>
    </r>
    <r>
      <rPr>
        <b/>
        <vertAlign val="subscript"/>
        <sz val="11"/>
        <color indexed="8"/>
        <rFont val="Calibri"/>
        <family val="2"/>
        <charset val="204"/>
      </rPr>
      <t>i</t>
    </r>
  </si>
  <si>
    <r>
      <t>Ф(x</t>
    </r>
    <r>
      <rPr>
        <b/>
        <vertAlign val="subscript"/>
        <sz val="11"/>
        <color indexed="8"/>
        <rFont val="Calibri"/>
        <family val="2"/>
        <charset val="204"/>
      </rPr>
      <t>i-1</t>
    </r>
    <r>
      <rPr>
        <b/>
        <sz val="11"/>
        <color indexed="8"/>
        <rFont val="Calibri"/>
        <family val="2"/>
        <charset val="204"/>
      </rPr>
      <t>)</t>
    </r>
  </si>
  <si>
    <r>
      <t>Ф(x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)</t>
    </r>
  </si>
  <si>
    <r>
      <t>p</t>
    </r>
    <r>
      <rPr>
        <b/>
        <vertAlign val="subscript"/>
        <sz val="11"/>
        <color indexed="8"/>
        <rFont val="Calibri"/>
        <family val="2"/>
        <charset val="204"/>
      </rPr>
      <t>i</t>
    </r>
  </si>
  <si>
    <r>
      <t>n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'</t>
    </r>
  </si>
  <si>
    <r>
      <rPr>
        <b/>
        <sz val="11"/>
        <color indexed="8"/>
        <rFont val="Symbol"/>
        <family val="1"/>
        <charset val="2"/>
      </rPr>
      <t>l</t>
    </r>
    <r>
      <rPr>
        <b/>
        <vertAlign val="subscript"/>
        <sz val="11"/>
        <color indexed="8"/>
        <rFont val="Calibri"/>
        <family val="2"/>
        <charset val="204"/>
      </rPr>
      <t>набл &lt;</t>
    </r>
    <r>
      <rPr>
        <b/>
        <sz val="11"/>
        <color indexed="8"/>
        <rFont val="Symbol"/>
        <family val="1"/>
        <charset val="2"/>
      </rPr>
      <t>l</t>
    </r>
    <r>
      <rPr>
        <b/>
        <vertAlign val="subscript"/>
        <sz val="11"/>
        <color indexed="8"/>
        <rFont val="Calibri"/>
        <family val="2"/>
        <charset val="204"/>
      </rPr>
      <t>кр</t>
    </r>
  </si>
  <si>
    <r>
      <t>x</t>
    </r>
    <r>
      <rPr>
        <b/>
        <vertAlign val="subscript"/>
        <sz val="11"/>
        <color indexed="8"/>
        <rFont val="Calibri"/>
        <family val="2"/>
        <charset val="204"/>
      </rPr>
      <t>i</t>
    </r>
  </si>
  <si>
    <r>
      <t>x</t>
    </r>
    <r>
      <rPr>
        <b/>
        <vertAlign val="subscript"/>
        <sz val="11"/>
        <color indexed="8"/>
        <rFont val="Calibri"/>
        <family val="2"/>
        <charset val="204"/>
      </rPr>
      <t>i+1</t>
    </r>
  </si>
  <si>
    <r>
      <t xml:space="preserve">Объединим малочисленные частоты </t>
    </r>
    <r>
      <rPr>
        <i/>
        <sz val="11"/>
        <color indexed="8"/>
        <rFont val="Calibri"/>
        <family val="2"/>
        <charset val="204"/>
      </rPr>
      <t>n</t>
    </r>
    <r>
      <rPr>
        <i/>
        <vertAlign val="subscript"/>
        <sz val="11"/>
        <color indexed="8"/>
        <rFont val="Calibri"/>
        <family val="2"/>
        <charset val="204"/>
      </rPr>
      <t>i</t>
    </r>
    <r>
      <rPr>
        <i/>
        <sz val="11"/>
        <color indexed="8"/>
        <rFont val="Calibri"/>
        <family val="2"/>
        <charset val="204"/>
      </rPr>
      <t>&lt; 5</t>
    </r>
    <r>
      <rPr>
        <sz val="11"/>
        <color theme="1"/>
        <rFont val="Calibri"/>
        <family val="2"/>
        <charset val="204"/>
        <scheme val="minor"/>
      </rPr>
      <t xml:space="preserve"> и скорректируем теоретическую вероятность</t>
    </r>
  </si>
  <si>
    <t>χ2</t>
  </si>
  <si>
    <r>
      <rPr>
        <b/>
        <sz val="11"/>
        <color indexed="8"/>
        <rFont val="Calibri"/>
        <family val="2"/>
        <charset val="204"/>
      </rP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>набл</t>
    </r>
    <r>
      <rPr>
        <b/>
        <sz val="11"/>
        <color indexed="8"/>
        <rFont val="Calibri"/>
        <family val="2"/>
        <charset val="204"/>
      </rPr>
      <t>=</t>
    </r>
  </si>
  <si>
    <t xml:space="preserve"> - наблюдаемое значение статистического критерия</t>
  </si>
  <si>
    <t>m=</t>
  </si>
  <si>
    <t xml:space="preserve"> - число интервалов эмпирического распределения</t>
  </si>
  <si>
    <t>r=</t>
  </si>
  <si>
    <t xml:space="preserve"> - число параметров теоретического распределения</t>
  </si>
  <si>
    <t>k=</t>
  </si>
  <si>
    <t xml:space="preserve"> - число степеней свободы</t>
  </si>
  <si>
    <r>
      <rPr>
        <b/>
        <sz val="11"/>
        <color indexed="8"/>
        <rFont val="Calibri"/>
        <family val="2"/>
        <charset val="204"/>
      </rP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>кр</t>
    </r>
    <r>
      <rPr>
        <b/>
        <sz val="11"/>
        <color indexed="8"/>
        <rFont val="Calibri"/>
        <family val="2"/>
        <charset val="204"/>
      </rPr>
      <t>=</t>
    </r>
  </si>
  <si>
    <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 xml:space="preserve">набл &lt; </t>
    </r>
    <r>
      <rPr>
        <b/>
        <sz val="11"/>
        <color indexed="8"/>
        <rFont val="Calibri"/>
        <family val="2"/>
        <charset val="204"/>
      </rP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>кр</t>
    </r>
  </si>
  <si>
    <t>Выход валовой продукции на 1 га с/х угодий, руб.</t>
  </si>
  <si>
    <r>
      <t xml:space="preserve">X </t>
    </r>
    <r>
      <rPr>
        <sz val="11"/>
        <color indexed="8"/>
        <rFont val="Aptos Narrow"/>
        <family val="2"/>
      </rPr>
      <t xml:space="preserve">~ </t>
    </r>
    <r>
      <rPr>
        <b/>
        <i/>
        <sz val="11"/>
        <color indexed="8"/>
        <rFont val="Aptos Narrow"/>
        <family val="2"/>
      </rPr>
      <t xml:space="preserve"> Exp</t>
    </r>
    <r>
      <rPr>
        <sz val="11"/>
        <color indexed="8"/>
        <rFont val="Aptos Narrow"/>
        <family val="2"/>
      </rPr>
      <t>(0,05)</t>
    </r>
  </si>
  <si>
    <t>l</t>
  </si>
  <si>
    <t>отказов в час</t>
  </si>
  <si>
    <t>Критерий Пирсона</t>
  </si>
  <si>
    <r>
      <t>P</t>
    </r>
    <r>
      <rPr>
        <b/>
        <vertAlign val="subscript"/>
        <sz val="11"/>
        <color indexed="8"/>
        <rFont val="Calibri"/>
        <family val="2"/>
        <charset val="204"/>
      </rPr>
      <t>i</t>
    </r>
  </si>
  <si>
    <r>
      <t>n</t>
    </r>
    <r>
      <rPr>
        <b/>
        <vertAlign val="subscript"/>
        <sz val="11"/>
        <color indexed="8"/>
        <rFont val="Calibri"/>
        <family val="2"/>
        <charset val="204"/>
      </rPr>
      <t>i, н</t>
    </r>
    <r>
      <rPr>
        <b/>
        <vertAlign val="superscript"/>
        <sz val="11"/>
        <color indexed="8"/>
        <rFont val="Calibri"/>
        <family val="2"/>
        <charset val="204"/>
      </rPr>
      <t>0</t>
    </r>
  </si>
  <si>
    <r>
      <rPr>
        <sz val="12"/>
        <color indexed="8"/>
        <rFont val="Aptos Narrow"/>
        <family val="2"/>
      </rPr>
      <t>χ</t>
    </r>
    <r>
      <rPr>
        <i/>
        <vertAlign val="superscript"/>
        <sz val="12"/>
        <color indexed="8"/>
        <rFont val="Mathcad UniMath"/>
        <family val="3"/>
      </rPr>
      <t>2</t>
    </r>
  </si>
  <si>
    <t>∞</t>
  </si>
  <si>
    <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 xml:space="preserve">набл &gt; </t>
    </r>
    <r>
      <rPr>
        <b/>
        <sz val="11"/>
        <color indexed="8"/>
        <rFont val="Calibri"/>
        <family val="2"/>
        <charset val="204"/>
      </rPr>
      <t>χ</t>
    </r>
    <r>
      <rPr>
        <b/>
        <vertAlign val="superscript"/>
        <sz val="11"/>
        <color indexed="8"/>
        <rFont val="Calibri"/>
        <family val="2"/>
        <charset val="204"/>
      </rPr>
      <t>2</t>
    </r>
    <r>
      <rPr>
        <b/>
        <vertAlign val="subscript"/>
        <sz val="11"/>
        <color indexed="8"/>
        <rFont val="Calibri"/>
        <family val="2"/>
        <charset val="204"/>
      </rPr>
      <t>кр</t>
    </r>
  </si>
  <si>
    <t>Критерий Колмогорова</t>
  </si>
  <si>
    <t>Вариационный ряд абсолютных частот</t>
  </si>
  <si>
    <r>
      <rPr>
        <i/>
        <sz val="12"/>
        <color indexed="8"/>
        <rFont val="Mathcad UniMath"/>
        <family val="3"/>
      </rPr>
      <t>x</t>
    </r>
    <r>
      <rPr>
        <i/>
        <vertAlign val="subscript"/>
        <sz val="12"/>
        <color indexed="8"/>
        <rFont val="Times New Roman"/>
        <family val="1"/>
        <charset val="204"/>
      </rPr>
      <t>i</t>
    </r>
  </si>
  <si>
    <r>
      <rPr>
        <i/>
        <sz val="12"/>
        <color indexed="8"/>
        <rFont val="Mathcad UniMath"/>
        <family val="3"/>
      </rPr>
      <t>n</t>
    </r>
    <r>
      <rPr>
        <i/>
        <vertAlign val="subscript"/>
        <sz val="12"/>
        <color indexed="8"/>
        <rFont val="Times New Roman"/>
        <family val="1"/>
        <charset val="204"/>
      </rPr>
      <t>i</t>
    </r>
  </si>
  <si>
    <r>
      <t xml:space="preserve">X </t>
    </r>
    <r>
      <rPr>
        <sz val="11"/>
        <color indexed="8"/>
        <rFont val="Aptos Narrow"/>
        <family val="2"/>
      </rPr>
      <t xml:space="preserve">~ </t>
    </r>
    <r>
      <rPr>
        <b/>
        <i/>
        <sz val="11"/>
        <color indexed="8"/>
        <rFont val="Aptos Narrow"/>
        <family val="2"/>
      </rPr>
      <t>N</t>
    </r>
    <r>
      <rPr>
        <sz val="11"/>
        <color indexed="8"/>
        <rFont val="Aptos Narrow"/>
        <family val="2"/>
      </rPr>
      <t>(1,26; 0,498)</t>
    </r>
  </si>
  <si>
    <t>h</t>
  </si>
  <si>
    <t>Средняя</t>
  </si>
  <si>
    <t>Дисперсия (испр)</t>
  </si>
  <si>
    <t>Кв.отклон (испр)</t>
  </si>
  <si>
    <t>Теоретические частоты (без поправки на непрерывность, через плотность, нормированные):</t>
  </si>
  <si>
    <r>
      <rPr>
        <i/>
        <sz val="12"/>
        <color indexed="8"/>
        <rFont val="Mathcad UniMath"/>
        <family val="3"/>
      </rPr>
      <t>u</t>
    </r>
    <r>
      <rPr>
        <i/>
        <vertAlign val="subscript"/>
        <sz val="12"/>
        <color indexed="8"/>
        <rFont val="Times New Roman"/>
        <family val="1"/>
        <charset val="204"/>
      </rPr>
      <t>i</t>
    </r>
  </si>
  <si>
    <r>
      <rPr>
        <sz val="12"/>
        <color indexed="8"/>
        <rFont val="Mathcad UniMath"/>
        <family val="3"/>
      </rPr>
      <t>φ</t>
    </r>
    <r>
      <rPr>
        <i/>
        <vertAlign val="subscript"/>
        <sz val="12"/>
        <color indexed="8"/>
        <rFont val="Times New Roman"/>
        <family val="1"/>
        <charset val="204"/>
      </rPr>
      <t>i</t>
    </r>
  </si>
  <si>
    <r>
      <rPr>
        <i/>
        <sz val="12"/>
        <color indexed="8"/>
        <rFont val="Mathcad UniMath"/>
        <family val="3"/>
      </rPr>
      <t>n</t>
    </r>
    <r>
      <rPr>
        <i/>
        <vertAlign val="subscript"/>
        <sz val="12"/>
        <color indexed="8"/>
        <rFont val="Mathcad UniMath"/>
        <family val="3"/>
      </rPr>
      <t>i</t>
    </r>
    <r>
      <rPr>
        <i/>
        <vertAlign val="superscript"/>
        <sz val="12"/>
        <color indexed="8"/>
        <rFont val="Mathcad UniMath"/>
        <family val="3"/>
      </rPr>
      <t>0</t>
    </r>
  </si>
  <si>
    <r>
      <rPr>
        <i/>
        <sz val="12"/>
        <color indexed="8"/>
        <rFont val="Mathcad UniMath"/>
        <family val="3"/>
      </rPr>
      <t>n</t>
    </r>
    <r>
      <rPr>
        <i/>
        <vertAlign val="subscript"/>
        <sz val="12"/>
        <color indexed="8"/>
        <rFont val="Mathcad UniMath"/>
        <family val="3"/>
      </rPr>
      <t>i, н</t>
    </r>
    <r>
      <rPr>
        <i/>
        <vertAlign val="superscript"/>
        <sz val="12"/>
        <color indexed="8"/>
        <rFont val="Mathcad UniMath"/>
        <family val="3"/>
      </rPr>
      <t>0</t>
    </r>
  </si>
  <si>
    <r>
      <t xml:space="preserve">Объединим малочисленные частоты </t>
    </r>
    <r>
      <rPr>
        <i/>
        <sz val="11"/>
        <color indexed="8"/>
        <rFont val="Calibri"/>
        <family val="2"/>
        <charset val="204"/>
      </rPr>
      <t>n</t>
    </r>
    <r>
      <rPr>
        <i/>
        <vertAlign val="subscript"/>
        <sz val="11"/>
        <color indexed="8"/>
        <rFont val="Calibri"/>
        <family val="2"/>
        <charset val="204"/>
      </rPr>
      <t>i</t>
    </r>
    <r>
      <rPr>
        <i/>
        <sz val="11"/>
        <color indexed="8"/>
        <rFont val="Calibri"/>
        <family val="2"/>
        <charset val="204"/>
      </rPr>
      <t>&lt;5</t>
    </r>
    <r>
      <rPr>
        <sz val="11"/>
        <color theme="1"/>
        <rFont val="Calibri"/>
        <family val="2"/>
        <charset val="204"/>
        <scheme val="minor"/>
      </rPr>
      <t>:</t>
    </r>
  </si>
  <si>
    <r>
      <t xml:space="preserve">Нак. частота, </t>
    </r>
    <r>
      <rPr>
        <b/>
        <i/>
        <sz val="11"/>
        <color indexed="8"/>
        <rFont val="Calibri"/>
        <family val="2"/>
        <charset val="204"/>
      </rPr>
      <t>w</t>
    </r>
    <r>
      <rPr>
        <b/>
        <i/>
        <vertAlign val="subscript"/>
        <sz val="11"/>
        <color indexed="8"/>
        <rFont val="Calibri"/>
        <family val="2"/>
        <charset val="204"/>
      </rPr>
      <t>i,нак</t>
    </r>
  </si>
  <si>
    <r>
      <t>F</t>
    </r>
    <r>
      <rPr>
        <b/>
        <vertAlign val="subscript"/>
        <sz val="11"/>
        <color indexed="8"/>
        <rFont val="Calibri"/>
        <family val="2"/>
        <charset val="204"/>
      </rPr>
      <t>n</t>
    </r>
    <r>
      <rPr>
        <b/>
        <sz val="11"/>
        <color indexed="8"/>
        <rFont val="Calibri"/>
        <family val="2"/>
        <charset val="204"/>
      </rPr>
      <t>(x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)=</t>
    </r>
    <r>
      <rPr>
        <b/>
        <i/>
        <sz val="11"/>
        <color indexed="8"/>
        <rFont val="Calibri"/>
        <family val="2"/>
        <charset val="204"/>
      </rPr>
      <t>w</t>
    </r>
    <r>
      <rPr>
        <b/>
        <i/>
        <vertAlign val="subscript"/>
        <sz val="11"/>
        <color indexed="8"/>
        <rFont val="Calibri"/>
        <family val="2"/>
        <charset val="204"/>
      </rPr>
      <t>i,нак</t>
    </r>
    <r>
      <rPr>
        <b/>
        <sz val="11"/>
        <color indexed="8"/>
        <rFont val="Calibri"/>
        <family val="2"/>
        <charset val="204"/>
      </rPr>
      <t>/</t>
    </r>
    <r>
      <rPr>
        <b/>
        <i/>
        <sz val="11"/>
        <color indexed="8"/>
        <rFont val="Calibri"/>
        <family val="2"/>
        <charset val="204"/>
      </rPr>
      <t>n</t>
    </r>
  </si>
  <si>
    <r>
      <t>u</t>
    </r>
    <r>
      <rPr>
        <b/>
        <vertAlign val="subscript"/>
        <sz val="11"/>
        <color indexed="8"/>
        <rFont val="Calibri"/>
        <family val="2"/>
        <charset val="204"/>
      </rPr>
      <t>i</t>
    </r>
  </si>
  <si>
    <r>
      <t>Теор. F</t>
    </r>
    <r>
      <rPr>
        <b/>
        <vertAlign val="subscript"/>
        <sz val="11"/>
        <color indexed="8"/>
        <rFont val="Calibri"/>
        <family val="2"/>
        <charset val="204"/>
      </rPr>
      <t>n</t>
    </r>
    <r>
      <rPr>
        <b/>
        <sz val="11"/>
        <color indexed="8"/>
        <rFont val="Calibri"/>
        <family val="2"/>
        <charset val="204"/>
      </rPr>
      <t>(x</t>
    </r>
    <r>
      <rPr>
        <b/>
        <vertAlign val="subscript"/>
        <sz val="11"/>
        <color indexed="8"/>
        <rFont val="Calibri"/>
        <family val="2"/>
        <charset val="204"/>
      </rPr>
      <t>i</t>
    </r>
    <r>
      <rPr>
        <b/>
        <sz val="11"/>
        <color indexed="8"/>
        <rFont val="Calibri"/>
        <family val="2"/>
        <charset val="204"/>
      </rPr>
      <t>)</t>
    </r>
  </si>
  <si>
    <r>
      <t>D</t>
    </r>
    <r>
      <rPr>
        <b/>
        <vertAlign val="subscript"/>
        <sz val="11"/>
        <color indexed="8"/>
        <rFont val="Calibri"/>
        <family val="2"/>
        <charset val="204"/>
      </rPr>
      <t>n</t>
    </r>
  </si>
  <si>
    <r>
      <t xml:space="preserve">X </t>
    </r>
    <r>
      <rPr>
        <sz val="11"/>
        <color indexed="8"/>
        <rFont val="Aptos Narrow"/>
        <family val="2"/>
      </rPr>
      <t xml:space="preserve">~ </t>
    </r>
    <r>
      <rPr>
        <b/>
        <i/>
        <sz val="11"/>
        <color indexed="8"/>
        <rFont val="Aptos Narrow"/>
        <family val="2"/>
      </rPr>
      <t>N</t>
    </r>
    <r>
      <rPr>
        <sz val="11"/>
        <color indexed="8"/>
        <rFont val="Aptos Narrow"/>
        <family val="2"/>
      </rPr>
      <t>(119,2; 9,40)</t>
    </r>
  </si>
  <si>
    <t>Σ</t>
  </si>
  <si>
    <r>
      <t xml:space="preserve">X </t>
    </r>
    <r>
      <rPr>
        <sz val="11"/>
        <color indexed="8"/>
        <rFont val="Aptos Narrow"/>
        <family val="2"/>
      </rPr>
      <t xml:space="preserve">~ </t>
    </r>
    <r>
      <rPr>
        <b/>
        <i/>
        <sz val="11"/>
        <color indexed="8"/>
        <rFont val="Aptos Narrow"/>
        <family val="2"/>
      </rPr>
      <t>Π</t>
    </r>
    <r>
      <rPr>
        <sz val="11"/>
        <color indexed="8"/>
        <rFont val="Aptos Narrow"/>
        <family val="2"/>
      </rPr>
      <t>(2,54)</t>
    </r>
  </si>
  <si>
    <r>
      <rPr>
        <i/>
        <sz val="12"/>
        <color indexed="8"/>
        <rFont val="Mathcad UniMath"/>
        <family val="3"/>
      </rPr>
      <t>p</t>
    </r>
    <r>
      <rPr>
        <i/>
        <vertAlign val="subscript"/>
        <sz val="12"/>
        <color indexed="8"/>
        <rFont val="Times New Roman"/>
        <family val="1"/>
        <charset val="204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</si>
</sst>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р_._-;\-* #,##0.00_р_._-;_-* &quot;-&quot;??_р_._-;_-@_-"/>
    <numFmt numFmtId="165" formatCode="#,##0.000_ ;\-#,##0.000\ "/>
    <numFmt numFmtId="166" formatCode="#,##0.0000_ ;\-#,##0.0000\ "/>
    <numFmt numFmtId="167" formatCode="0.0000"/>
    <numFmt numFmtId="168" formatCode="0.0"/>
    <numFmt numFmtId="169" formatCode="0.000"/>
  </numFmts>
  <fonts count="4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Mathcad UniMath"/>
      <family val="3"/>
    </font>
    <font>
      <b/>
      <vertAlign val="subscript"/>
      <sz val="11"/>
      <color indexed="8"/>
      <name val="Mathcad UniMath"/>
      <family val="3"/>
    </font>
    <font>
      <b/>
      <sz val="11"/>
      <color indexed="8"/>
      <name val="Calibri"/>
      <family val="2"/>
      <charset val="204"/>
    </font>
    <font>
      <b/>
      <i/>
      <sz val="12"/>
      <color theme="1"/>
      <name val="Times New Roman"/>
      <family val="1"/>
      <charset val="204"/>
    </font>
    <font>
      <b/>
      <i/>
      <vertAlign val="subscript"/>
      <sz val="12"/>
      <color indexed="8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i/>
      <sz val="12"/>
      <color rgb="FF000000"/>
      <name val="Cambria"/>
      <family val="1"/>
      <charset val="204"/>
    </font>
    <font>
      <i/>
      <vertAlign val="subscript"/>
      <sz val="12"/>
      <color indexed="8"/>
      <name val="Cambria"/>
      <family val="1"/>
      <charset val="204"/>
    </font>
    <font>
      <i/>
      <sz val="12"/>
      <color indexed="8"/>
      <name val="Cambria"/>
      <family val="1"/>
      <charset val="204"/>
    </font>
    <font>
      <i/>
      <vertAlign val="superscript"/>
      <sz val="12"/>
      <color indexed="8"/>
      <name val="Cambria"/>
      <family val="1"/>
      <charset val="204"/>
    </font>
    <font>
      <b/>
      <vertAlign val="subscript"/>
      <sz val="11"/>
      <color indexed="8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indexed="8"/>
      <name val="Aptos Narrow"/>
      <family val="2"/>
    </font>
    <font>
      <b/>
      <i/>
      <sz val="11"/>
      <color indexed="8"/>
      <name val="Aptos Narrow"/>
      <family val="2"/>
    </font>
    <font>
      <b/>
      <sz val="11"/>
      <color theme="1"/>
      <name val="Calibri"/>
      <family val="1"/>
      <charset val="204"/>
    </font>
    <font>
      <b/>
      <sz val="11"/>
      <color indexed="8"/>
      <name val="Symbol"/>
      <family val="1"/>
      <charset val="2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1"/>
      <charset val="2"/>
    </font>
    <font>
      <b/>
      <sz val="8"/>
      <color theme="1"/>
      <name val="Calibri"/>
      <family val="2"/>
      <charset val="204"/>
      <scheme val="minor"/>
    </font>
    <font>
      <i/>
      <sz val="11"/>
      <color indexed="8"/>
      <name val="Calibri"/>
      <family val="2"/>
      <charset val="204"/>
    </font>
    <font>
      <i/>
      <vertAlign val="subscript"/>
      <sz val="11"/>
      <color indexed="8"/>
      <name val="Calibri"/>
      <family val="2"/>
      <charset val="204"/>
    </font>
    <font>
      <b/>
      <vertAlign val="superscript"/>
      <sz val="11"/>
      <color indexed="8"/>
      <name val="Calibri"/>
      <family val="2"/>
      <charset val="204"/>
    </font>
    <font>
      <sz val="11"/>
      <color theme="1"/>
      <name val="Symbol"/>
      <family val="1"/>
      <charset val="2"/>
    </font>
    <font>
      <sz val="11"/>
      <color rgb="FF0F1115"/>
      <name val="Calibri"/>
      <family val="2"/>
      <charset val="204"/>
      <scheme val="minor"/>
    </font>
    <font>
      <b/>
      <u/>
      <sz val="18"/>
      <color theme="1"/>
      <name val="Calibri"/>
      <family val="2"/>
      <charset val="204"/>
      <scheme val="minor"/>
    </font>
    <font>
      <i/>
      <sz val="12"/>
      <color theme="1"/>
      <name val="Mathcad UniMath"/>
      <family val="2"/>
    </font>
    <font>
      <sz val="12"/>
      <color indexed="8"/>
      <name val="Aptos Narrow"/>
      <family val="2"/>
    </font>
    <font>
      <i/>
      <vertAlign val="superscript"/>
      <sz val="12"/>
      <color indexed="8"/>
      <name val="Mathcad UniMath"/>
      <family val="3"/>
    </font>
    <font>
      <sz val="11"/>
      <color theme="1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3"/>
      <charset val="204"/>
    </font>
    <font>
      <i/>
      <sz val="12"/>
      <color indexed="8"/>
      <name val="Mathcad UniMath"/>
      <family val="3"/>
    </font>
    <font>
      <i/>
      <vertAlign val="subscript"/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2"/>
      <color rgb="FF0F1115"/>
      <name val="Segoe UI"/>
      <family val="2"/>
      <charset val="204"/>
    </font>
    <font>
      <sz val="12"/>
      <color indexed="8"/>
      <name val="Mathcad UniMath"/>
      <family val="3"/>
    </font>
    <font>
      <i/>
      <sz val="12"/>
      <color theme="1"/>
      <name val="Mathcad UniMath"/>
      <family val="3"/>
    </font>
    <font>
      <i/>
      <vertAlign val="subscript"/>
      <sz val="12"/>
      <color indexed="8"/>
      <name val="Mathcad UniMath"/>
      <family val="3"/>
    </font>
    <font>
      <b/>
      <i/>
      <sz val="11"/>
      <color indexed="8"/>
      <name val="Calibri"/>
      <family val="2"/>
      <charset val="204"/>
    </font>
    <font>
      <b/>
      <i/>
      <vertAlign val="subscript"/>
      <sz val="11"/>
      <color indexed="8"/>
      <name val="Calibri"/>
      <family val="2"/>
      <charset val="204"/>
    </font>
    <font>
      <i/>
      <sz val="12"/>
      <color indexed="8"/>
      <name val="Times New Roman"/>
      <family val="3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14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7" fontId="0" fillId="0" borderId="0" xfId="0" applyNumberFormat="1"/>
    <xf numFmtId="0" fontId="17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/>
    <xf numFmtId="168" fontId="0" fillId="3" borderId="0" xfId="0" applyNumberFormat="1" applyFill="1"/>
    <xf numFmtId="0" fontId="0" fillId="0" borderId="0" xfId="0" applyAlignment="1">
      <alignment horizontal="left"/>
    </xf>
    <xf numFmtId="169" fontId="0" fillId="3" borderId="0" xfId="0" applyNumberFormat="1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/>
    <xf numFmtId="169" fontId="0" fillId="5" borderId="0" xfId="0" applyNumberFormat="1" applyFill="1" applyAlignment="1">
      <alignment horizontal="center"/>
    </xf>
    <xf numFmtId="169" fontId="0" fillId="0" borderId="4" xfId="0" applyNumberFormat="1" applyBorder="1"/>
    <xf numFmtId="167" fontId="31" fillId="0" borderId="4" xfId="0" applyNumberFormat="1" applyFont="1" applyBorder="1" applyAlignment="1">
      <alignment horizontal="center"/>
    </xf>
    <xf numFmtId="169" fontId="0" fillId="3" borderId="0" xfId="0" applyNumberFormat="1" applyFill="1"/>
    <xf numFmtId="167" fontId="0" fillId="0" borderId="4" xfId="0" applyNumberFormat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0" fontId="35" fillId="6" borderId="8" xfId="0" applyFont="1" applyFill="1" applyBorder="1" applyAlignment="1">
      <alignment horizontal="center" vertical="top" wrapText="1"/>
    </xf>
    <xf numFmtId="0" fontId="38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top" wrapText="1"/>
    </xf>
    <xf numFmtId="2" fontId="38" fillId="0" borderId="11" xfId="0" applyNumberFormat="1" applyFont="1" applyBorder="1" applyAlignment="1">
      <alignment horizontal="center" vertical="center" wrapText="1"/>
    </xf>
    <xf numFmtId="0" fontId="39" fillId="7" borderId="0" xfId="0" applyFont="1" applyFill="1" applyAlignment="1">
      <alignment horizontal="left"/>
    </xf>
    <xf numFmtId="0" fontId="2" fillId="0" borderId="0" xfId="0" applyFont="1"/>
    <xf numFmtId="0" fontId="0" fillId="7" borderId="0" xfId="0" applyFill="1"/>
    <xf numFmtId="2" fontId="0" fillId="0" borderId="0" xfId="0" applyNumberFormat="1"/>
    <xf numFmtId="0" fontId="40" fillId="0" borderId="0" xfId="0" applyFont="1"/>
    <xf numFmtId="0" fontId="35" fillId="6" borderId="1" xfId="0" applyFont="1" applyFill="1" applyBorder="1" applyAlignment="1">
      <alignment vertical="top" wrapText="1"/>
    </xf>
    <xf numFmtId="0" fontId="42" fillId="6" borderId="1" xfId="0" applyFont="1" applyFill="1" applyBorder="1" applyAlignment="1">
      <alignment vertical="top" wrapText="1"/>
    </xf>
    <xf numFmtId="169" fontId="34" fillId="0" borderId="1" xfId="0" applyNumberFormat="1" applyFont="1" applyBorder="1" applyAlignment="1">
      <alignment horizontal="center" vertical="center" wrapText="1"/>
    </xf>
    <xf numFmtId="169" fontId="0" fillId="8" borderId="0" xfId="0" applyNumberFormat="1" applyFill="1"/>
    <xf numFmtId="0" fontId="36" fillId="6" borderId="1" xfId="0" applyFont="1" applyFill="1" applyBorder="1" applyAlignment="1">
      <alignment vertical="top" wrapText="1"/>
    </xf>
    <xf numFmtId="0" fontId="28" fillId="6" borderId="1" xfId="0" applyFont="1" applyFill="1" applyBorder="1" applyAlignment="1">
      <alignment vertical="top" wrapText="1"/>
    </xf>
    <xf numFmtId="0" fontId="35" fillId="6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 wrapText="1"/>
    </xf>
    <xf numFmtId="167" fontId="0" fillId="0" borderId="1" xfId="0" applyNumberFormat="1" applyBorder="1"/>
    <xf numFmtId="0" fontId="46" fillId="6" borderId="1" xfId="0" applyFont="1" applyFill="1" applyBorder="1" applyAlignment="1">
      <alignment vertical="top" wrapText="1"/>
    </xf>
    <xf numFmtId="169" fontId="0" fillId="0" borderId="1" xfId="0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8" fillId="6" borderId="5" xfId="0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 2" xfId="1" xr:uid="{00000000-0005-0000-0000-000001000000}"/>
  </cellStyles>
  <dxfs count="1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'Пример 4'!$B$16:$L$16</c:f>
              <c:numCache>
                <c:formatCode>General</c:formatCode>
                <c:ptCount val="11"/>
                <c:pt idx="0">
                  <c:v>0.3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  <c:pt idx="4">
                  <c:v>1.1000000000000001</c:v>
                </c:pt>
                <c:pt idx="5">
                  <c:v>1.3</c:v>
                </c:pt>
                <c:pt idx="6">
                  <c:v>1.5</c:v>
                </c:pt>
                <c:pt idx="7">
                  <c:v>1.7</c:v>
                </c:pt>
                <c:pt idx="8">
                  <c:v>1.9</c:v>
                </c:pt>
                <c:pt idx="9">
                  <c:v>2.1</c:v>
                </c:pt>
                <c:pt idx="10">
                  <c:v>2.2999999999999998</c:v>
                </c:pt>
              </c:numCache>
            </c:numRef>
          </c:xVal>
          <c:yVal>
            <c:numRef>
              <c:f>'Пример 4'!$B$17:$L$17</c:f>
              <c:numCache>
                <c:formatCode>General</c:formatCode>
                <c:ptCount val="11"/>
                <c:pt idx="0">
                  <c:v>7</c:v>
                </c:pt>
                <c:pt idx="1">
                  <c:v>9</c:v>
                </c:pt>
                <c:pt idx="2">
                  <c:v>28</c:v>
                </c:pt>
                <c:pt idx="3">
                  <c:v>27</c:v>
                </c:pt>
                <c:pt idx="4">
                  <c:v>30</c:v>
                </c:pt>
                <c:pt idx="5">
                  <c:v>26</c:v>
                </c:pt>
                <c:pt idx="6">
                  <c:v>21</c:v>
                </c:pt>
                <c:pt idx="7">
                  <c:v>25</c:v>
                </c:pt>
                <c:pt idx="8">
                  <c:v>22</c:v>
                </c:pt>
                <c:pt idx="9">
                  <c:v>9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1C-4E99-A25F-8187F9A232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'Пример 4'!$B$16:$L$16</c:f>
              <c:numCache>
                <c:formatCode>General</c:formatCode>
                <c:ptCount val="11"/>
                <c:pt idx="0">
                  <c:v>0.3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  <c:pt idx="4">
                  <c:v>1.1000000000000001</c:v>
                </c:pt>
                <c:pt idx="5">
                  <c:v>1.3</c:v>
                </c:pt>
                <c:pt idx="6">
                  <c:v>1.5</c:v>
                </c:pt>
                <c:pt idx="7">
                  <c:v>1.7</c:v>
                </c:pt>
                <c:pt idx="8">
                  <c:v>1.9</c:v>
                </c:pt>
                <c:pt idx="9">
                  <c:v>2.1</c:v>
                </c:pt>
                <c:pt idx="10">
                  <c:v>2.2999999999999998</c:v>
                </c:pt>
              </c:numCache>
            </c:numRef>
          </c:xVal>
          <c:yVal>
            <c:numRef>
              <c:f>'Пример 4'!$B$21:$L$21</c:f>
              <c:numCache>
                <c:formatCode>0.00</c:formatCode>
                <c:ptCount val="11"/>
                <c:pt idx="0">
                  <c:v>5.3461008766808753</c:v>
                </c:pt>
                <c:pt idx="1">
                  <c:v>10.706805566941412</c:v>
                </c:pt>
                <c:pt idx="2">
                  <c:v>18.247368348212138</c:v>
                </c:pt>
                <c:pt idx="3">
                  <c:v>26.464160269800619</c:v>
                </c:pt>
                <c:pt idx="4">
                  <c:v>32.661306502504395</c:v>
                </c:pt>
                <c:pt idx="5">
                  <c:v>34.302560937082134</c:v>
                </c:pt>
                <c:pt idx="6">
                  <c:v>30.657525062247856</c:v>
                </c:pt>
                <c:pt idx="7">
                  <c:v>23.316598560015194</c:v>
                </c:pt>
                <c:pt idx="8">
                  <c:v>15.09075107132834</c:v>
                </c:pt>
                <c:pt idx="9">
                  <c:v>8.3113978410069365</c:v>
                </c:pt>
                <c:pt idx="10">
                  <c:v>3.8954249641800645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1C-4E99-A25F-8187F9A2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632383"/>
        <c:axId val="1"/>
      </c:scatterChart>
      <c:valAx>
        <c:axId val="149063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6323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'Пример 5'!$B$32:$B$38</c:f>
              <c:numCache>
                <c:formatCode>0.0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'Пример 5'!$D$32:$D$38</c:f>
              <c:numCache>
                <c:formatCode>General</c:formatCode>
                <c:ptCount val="7"/>
                <c:pt idx="0">
                  <c:v>365</c:v>
                </c:pt>
                <c:pt idx="1">
                  <c:v>245</c:v>
                </c:pt>
                <c:pt idx="2">
                  <c:v>150</c:v>
                </c:pt>
                <c:pt idx="3">
                  <c:v>100</c:v>
                </c:pt>
                <c:pt idx="4">
                  <c:v>70</c:v>
                </c:pt>
                <c:pt idx="5">
                  <c:v>45</c:v>
                </c:pt>
                <c:pt idx="6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10-4153-931B-055BFB5EC15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'Пример 5'!$B$32:$B$38</c:f>
              <c:numCache>
                <c:formatCode>0.0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'Пример 5'!$E$32:$E$38</c:f>
              <c:numCache>
                <c:formatCode>0.000</c:formatCode>
                <c:ptCount val="7"/>
                <c:pt idx="0">
                  <c:v>393.46934028736655</c:v>
                </c:pt>
                <c:pt idx="1">
                  <c:v>238.6512185411911</c:v>
                </c:pt>
                <c:pt idx="2">
                  <c:v>144.74928102301251</c:v>
                </c:pt>
                <c:pt idx="3">
                  <c:v>87.794876911817113</c:v>
                </c:pt>
                <c:pt idx="4">
                  <c:v>53.250284612713905</c:v>
                </c:pt>
                <c:pt idx="5">
                  <c:v>32.297930256034853</c:v>
                </c:pt>
                <c:pt idx="6">
                  <c:v>49.78706836786391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10-4153-931B-055BFB5E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636127"/>
        <c:axId val="1"/>
      </c:scatterChart>
      <c:valAx>
        <c:axId val="149063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63612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'Пример 6'!$S$5:$S$12</c:f>
              <c:numCache>
                <c:formatCode>General</c:formatCode>
                <c:ptCount val="8"/>
                <c:pt idx="0">
                  <c:v>100</c:v>
                </c:pt>
                <c:pt idx="1">
                  <c:v>106</c:v>
                </c:pt>
                <c:pt idx="2">
                  <c:v>112</c:v>
                </c:pt>
                <c:pt idx="3">
                  <c:v>118</c:v>
                </c:pt>
                <c:pt idx="4">
                  <c:v>124</c:v>
                </c:pt>
                <c:pt idx="5">
                  <c:v>130</c:v>
                </c:pt>
                <c:pt idx="6">
                  <c:v>136</c:v>
                </c:pt>
                <c:pt idx="7">
                  <c:v>142</c:v>
                </c:pt>
              </c:numCache>
            </c:numRef>
          </c:xVal>
          <c:yVal>
            <c:numRef>
              <c:f>'Пример 6'!$W$5:$W$12</c:f>
              <c:numCache>
                <c:formatCode>0.00</c:formatCode>
                <c:ptCount val="8"/>
                <c:pt idx="0">
                  <c:v>0.03</c:v>
                </c:pt>
                <c:pt idx="1">
                  <c:v>0.1</c:v>
                </c:pt>
                <c:pt idx="2">
                  <c:v>0.21</c:v>
                </c:pt>
                <c:pt idx="3">
                  <c:v>0.41</c:v>
                </c:pt>
                <c:pt idx="4">
                  <c:v>0.69</c:v>
                </c:pt>
                <c:pt idx="5">
                  <c:v>0.88</c:v>
                </c:pt>
                <c:pt idx="6">
                  <c:v>0.98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FD-4C28-8C2C-9EE27D141B0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'Пример 6'!$S$5:$S$12</c:f>
              <c:numCache>
                <c:formatCode>General</c:formatCode>
                <c:ptCount val="8"/>
                <c:pt idx="0">
                  <c:v>100</c:v>
                </c:pt>
                <c:pt idx="1">
                  <c:v>106</c:v>
                </c:pt>
                <c:pt idx="2">
                  <c:v>112</c:v>
                </c:pt>
                <c:pt idx="3">
                  <c:v>118</c:v>
                </c:pt>
                <c:pt idx="4">
                  <c:v>124</c:v>
                </c:pt>
                <c:pt idx="5">
                  <c:v>130</c:v>
                </c:pt>
                <c:pt idx="6">
                  <c:v>136</c:v>
                </c:pt>
                <c:pt idx="7">
                  <c:v>142</c:v>
                </c:pt>
              </c:numCache>
            </c:numRef>
          </c:xVal>
          <c:yVal>
            <c:numRef>
              <c:f>'Пример 6'!$Y$5:$Y$12</c:f>
              <c:numCache>
                <c:formatCode>#\ ##0.0000_ ;\-#\ ##0.0000\ </c:formatCode>
                <c:ptCount val="8"/>
                <c:pt idx="0">
                  <c:v>2.0550426619504784E-2</c:v>
                </c:pt>
                <c:pt idx="1">
                  <c:v>8.0125717734042964E-2</c:v>
                </c:pt>
                <c:pt idx="2">
                  <c:v>0.22185550025937709</c:v>
                </c:pt>
                <c:pt idx="3">
                  <c:v>0.44921023100324259</c:v>
                </c:pt>
                <c:pt idx="4">
                  <c:v>0.69519414390701373</c:v>
                </c:pt>
                <c:pt idx="5">
                  <c:v>0.87470397465715788</c:v>
                </c:pt>
                <c:pt idx="6">
                  <c:v>0.96304719461977917</c:v>
                </c:pt>
                <c:pt idx="7">
                  <c:v>0.9923559632026151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FD-4C28-8C2C-9EE27D14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850911"/>
        <c:axId val="1"/>
      </c:scatterChart>
      <c:valAx>
        <c:axId val="149085091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509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chart" Target="../charts/chart3.xml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wmf"/><Relationship Id="rId4" Type="http://schemas.openxmlformats.org/officeDocument/2006/relationships/image" Target="../media/image13.w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wmf"/><Relationship Id="rId2" Type="http://schemas.openxmlformats.org/officeDocument/2006/relationships/image" Target="../media/image6.wmf"/><Relationship Id="rId1" Type="http://schemas.openxmlformats.org/officeDocument/2006/relationships/image" Target="../media/image5.wmf"/><Relationship Id="rId5" Type="http://schemas.openxmlformats.org/officeDocument/2006/relationships/image" Target="../media/image13.wmf"/><Relationship Id="rId4" Type="http://schemas.openxmlformats.org/officeDocument/2006/relationships/image" Target="../media/image1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257175</xdr:colOff>
      <xdr:row>0</xdr:row>
      <xdr:rowOff>1504950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90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14</xdr:row>
          <xdr:rowOff>45720</xdr:rowOff>
        </xdr:from>
        <xdr:to>
          <xdr:col>15</xdr:col>
          <xdr:colOff>251460</xdr:colOff>
          <xdr:row>16</xdr:row>
          <xdr:rowOff>220980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22860</xdr:colOff>
          <xdr:row>13</xdr:row>
          <xdr:rowOff>160020</xdr:rowOff>
        </xdr:from>
        <xdr:to>
          <xdr:col>17</xdr:col>
          <xdr:colOff>449580</xdr:colOff>
          <xdr:row>16</xdr:row>
          <xdr:rowOff>213360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83820</xdr:colOff>
          <xdr:row>13</xdr:row>
          <xdr:rowOff>175260</xdr:rowOff>
        </xdr:from>
        <xdr:to>
          <xdr:col>20</xdr:col>
          <xdr:colOff>76200</xdr:colOff>
          <xdr:row>16</xdr:row>
          <xdr:rowOff>152400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99060</xdr:colOff>
          <xdr:row>17</xdr:row>
          <xdr:rowOff>106680</xdr:rowOff>
        </xdr:from>
        <xdr:to>
          <xdr:col>18</xdr:col>
          <xdr:colOff>175260</xdr:colOff>
          <xdr:row>20</xdr:row>
          <xdr:rowOff>99060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11</xdr:col>
      <xdr:colOff>590550</xdr:colOff>
      <xdr:row>22</xdr:row>
      <xdr:rowOff>0</xdr:rowOff>
    </xdr:from>
    <xdr:to>
      <xdr:col>17</xdr:col>
      <xdr:colOff>476250</xdr:colOff>
      <xdr:row>25</xdr:row>
      <xdr:rowOff>209550</xdr:rowOff>
    </xdr:to>
    <xdr:pic>
      <xdr:nvPicPr>
        <xdr:cNvPr id="7" name="Рисунок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6543675"/>
          <a:ext cx="3543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27</xdr:row>
      <xdr:rowOff>76200</xdr:rowOff>
    </xdr:from>
    <xdr:to>
      <xdr:col>15</xdr:col>
      <xdr:colOff>133350</xdr:colOff>
      <xdr:row>38</xdr:row>
      <xdr:rowOff>9525</xdr:rowOff>
    </xdr:to>
    <xdr:graphicFrame macro="">
      <xdr:nvGraphicFramePr>
        <xdr:cNvPr id="8" name="Диаграмма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274320</xdr:colOff>
          <xdr:row>42</xdr:row>
          <xdr:rowOff>152400</xdr:rowOff>
        </xdr:from>
        <xdr:to>
          <xdr:col>14</xdr:col>
          <xdr:colOff>99060</xdr:colOff>
          <xdr:row>45</xdr:row>
          <xdr:rowOff>144780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274320</xdr:colOff>
          <xdr:row>46</xdr:row>
          <xdr:rowOff>60960</xdr:rowOff>
        </xdr:from>
        <xdr:to>
          <xdr:col>15</xdr:col>
          <xdr:colOff>579120</xdr:colOff>
          <xdr:row>49</xdr:row>
          <xdr:rowOff>7620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137160</xdr:colOff>
          <xdr:row>52</xdr:row>
          <xdr:rowOff>7620</xdr:rowOff>
        </xdr:from>
        <xdr:to>
          <xdr:col>3</xdr:col>
          <xdr:colOff>182880</xdr:colOff>
          <xdr:row>53</xdr:row>
          <xdr:rowOff>76200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137160</xdr:colOff>
          <xdr:row>51</xdr:row>
          <xdr:rowOff>7620</xdr:rowOff>
        </xdr:from>
        <xdr:to>
          <xdr:col>4</xdr:col>
          <xdr:colOff>419100</xdr:colOff>
          <xdr:row>52</xdr:row>
          <xdr:rowOff>30480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30480</xdr:colOff>
          <xdr:row>55</xdr:row>
          <xdr:rowOff>7620</xdr:rowOff>
        </xdr:from>
        <xdr:to>
          <xdr:col>6</xdr:col>
          <xdr:colOff>38100</xdr:colOff>
          <xdr:row>56</xdr:row>
          <xdr:rowOff>45720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55</xdr:row>
          <xdr:rowOff>7620</xdr:rowOff>
        </xdr:from>
        <xdr:to>
          <xdr:col>2</xdr:col>
          <xdr:colOff>525780</xdr:colOff>
          <xdr:row>56</xdr:row>
          <xdr:rowOff>38100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14</xdr:col>
      <xdr:colOff>104775</xdr:colOff>
      <xdr:row>0</xdr:row>
      <xdr:rowOff>2019300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"/>
          <a:ext cx="934402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257175</xdr:colOff>
      <xdr:row>18</xdr:row>
      <xdr:rowOff>152400</xdr:rowOff>
    </xdr:from>
    <xdr:to>
      <xdr:col>10</xdr:col>
      <xdr:colOff>485775</xdr:colOff>
      <xdr:row>20</xdr:row>
      <xdr:rowOff>95250</xdr:rowOff>
    </xdr:to>
    <xdr:pic>
      <xdr:nvPicPr>
        <xdr:cNvPr id="3" name="Рисунок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5591175"/>
          <a:ext cx="31718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247650</xdr:colOff>
      <xdr:row>21</xdr:row>
      <xdr:rowOff>0</xdr:rowOff>
    </xdr:from>
    <xdr:to>
      <xdr:col>14</xdr:col>
      <xdr:colOff>114300</xdr:colOff>
      <xdr:row>33</xdr:row>
      <xdr:rowOff>0</xdr:rowOff>
    </xdr:to>
    <xdr:graphicFrame macro="">
      <xdr:nvGraphicFramePr>
        <xdr:cNvPr id="4" name="Диаграмма 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152400</xdr:colOff>
      <xdr:row>34</xdr:row>
      <xdr:rowOff>66675</xdr:rowOff>
    </xdr:from>
    <xdr:to>
      <xdr:col>10</xdr:col>
      <xdr:colOff>9525</xdr:colOff>
      <xdr:row>38</xdr:row>
      <xdr:rowOff>38100</xdr:rowOff>
    </xdr:to>
    <xdr:pic>
      <xdr:nvPicPr>
        <xdr:cNvPr id="5" name="Рисунок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8724900"/>
          <a:ext cx="28003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9</xdr:col>
      <xdr:colOff>114300</xdr:colOff>
      <xdr:row>53</xdr:row>
      <xdr:rowOff>142875</xdr:rowOff>
    </xdr:to>
    <xdr:pic>
      <xdr:nvPicPr>
        <xdr:cNvPr id="6" name="Рисунок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2230100"/>
          <a:ext cx="1333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65</xdr:row>
          <xdr:rowOff>175260</xdr:rowOff>
        </xdr:from>
        <xdr:to>
          <xdr:col>3</xdr:col>
          <xdr:colOff>144780</xdr:colOff>
          <xdr:row>67</xdr:row>
          <xdr:rowOff>22860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64</xdr:row>
          <xdr:rowOff>175260</xdr:rowOff>
        </xdr:from>
        <xdr:to>
          <xdr:col>4</xdr:col>
          <xdr:colOff>350520</xdr:colOff>
          <xdr:row>66</xdr:row>
          <xdr:rowOff>22860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30480</xdr:colOff>
          <xdr:row>69</xdr:row>
          <xdr:rowOff>7620</xdr:rowOff>
        </xdr:from>
        <xdr:to>
          <xdr:col>6</xdr:col>
          <xdr:colOff>38100</xdr:colOff>
          <xdr:row>70</xdr:row>
          <xdr:rowOff>45720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69</xdr:row>
          <xdr:rowOff>7620</xdr:rowOff>
        </xdr:from>
        <xdr:to>
          <xdr:col>2</xdr:col>
          <xdr:colOff>525780</xdr:colOff>
          <xdr:row>70</xdr:row>
          <xdr:rowOff>38100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314325</xdr:colOff>
      <xdr:row>77</xdr:row>
      <xdr:rowOff>0</xdr:rowOff>
    </xdr:from>
    <xdr:to>
      <xdr:col>12</xdr:col>
      <xdr:colOff>504825</xdr:colOff>
      <xdr:row>88</xdr:row>
      <xdr:rowOff>104775</xdr:rowOff>
    </xdr:to>
    <xdr:pic>
      <xdr:nvPicPr>
        <xdr:cNvPr id="12" name="Рисунок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7268825"/>
          <a:ext cx="83153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400050</xdr:colOff>
      <xdr:row>0</xdr:row>
      <xdr:rowOff>1400175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151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0</xdr:row>
      <xdr:rowOff>1428750</xdr:rowOff>
    </xdr:from>
    <xdr:to>
      <xdr:col>15</xdr:col>
      <xdr:colOff>247650</xdr:colOff>
      <xdr:row>16</xdr:row>
      <xdr:rowOff>28575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428750"/>
          <a:ext cx="5219700" cy="321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13</xdr:col>
      <xdr:colOff>485775</xdr:colOff>
      <xdr:row>37</xdr:row>
      <xdr:rowOff>104775</xdr:rowOff>
    </xdr:to>
    <xdr:pic>
      <xdr:nvPicPr>
        <xdr:cNvPr id="4" name="Рисунок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7991475"/>
          <a:ext cx="3533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57150</xdr:colOff>
      <xdr:row>0</xdr:row>
      <xdr:rowOff>47625</xdr:rowOff>
    </xdr:from>
    <xdr:to>
      <xdr:col>22</xdr:col>
      <xdr:colOff>390525</xdr:colOff>
      <xdr:row>0</xdr:row>
      <xdr:rowOff>1323975</xdr:rowOff>
    </xdr:to>
    <xdr:pic>
      <xdr:nvPicPr>
        <xdr:cNvPr id="6" name="Рисунок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47625"/>
          <a:ext cx="642937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365760</xdr:colOff>
          <xdr:row>0</xdr:row>
          <xdr:rowOff>1188720</xdr:rowOff>
        </xdr:from>
        <xdr:to>
          <xdr:col>25</xdr:col>
          <xdr:colOff>419100</xdr:colOff>
          <xdr:row>1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28575</xdr:colOff>
      <xdr:row>21</xdr:row>
      <xdr:rowOff>104775</xdr:rowOff>
    </xdr:from>
    <xdr:to>
      <xdr:col>24</xdr:col>
      <xdr:colOff>85725</xdr:colOff>
      <xdr:row>35</xdr:row>
      <xdr:rowOff>38100</xdr:rowOff>
    </xdr:to>
    <xdr:graphicFrame macro="">
      <xdr:nvGraphicFramePr>
        <xdr:cNvPr id="8" name="Диаграмма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137160</xdr:colOff>
          <xdr:row>15</xdr:row>
          <xdr:rowOff>7620</xdr:rowOff>
        </xdr:from>
        <xdr:to>
          <xdr:col>20</xdr:col>
          <xdr:colOff>182880</xdr:colOff>
          <xdr:row>16</xdr:row>
          <xdr:rowOff>76200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137160</xdr:colOff>
          <xdr:row>14</xdr:row>
          <xdr:rowOff>7620</xdr:rowOff>
        </xdr:from>
        <xdr:to>
          <xdr:col>21</xdr:col>
          <xdr:colOff>419100</xdr:colOff>
          <xdr:row>15</xdr:row>
          <xdr:rowOff>30480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30480</xdr:colOff>
          <xdr:row>18</xdr:row>
          <xdr:rowOff>7620</xdr:rowOff>
        </xdr:from>
        <xdr:to>
          <xdr:col>23</xdr:col>
          <xdr:colOff>38100</xdr:colOff>
          <xdr:row>19</xdr:row>
          <xdr:rowOff>45720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99060</xdr:colOff>
          <xdr:row>18</xdr:row>
          <xdr:rowOff>7620</xdr:rowOff>
        </xdr:from>
        <xdr:to>
          <xdr:col>19</xdr:col>
          <xdr:colOff>525780</xdr:colOff>
          <xdr:row>19</xdr:row>
          <xdr:rowOff>38100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438150</xdr:colOff>
      <xdr:row>14</xdr:row>
      <xdr:rowOff>31784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48500" cy="2698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7.wmf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10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image" Target="../media/image6.wmf"/><Relationship Id="rId20" Type="http://schemas.openxmlformats.org/officeDocument/2006/relationships/image" Target="../media/image8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oleObject" Target="../embeddings/oleObject7.bin"/><Relationship Id="rId23" Type="http://schemas.openxmlformats.org/officeDocument/2006/relationships/comments" Target="../comments1.xml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9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image" Target="../media/image5.wmf"/><Relationship Id="rId22" Type="http://schemas.openxmlformats.org/officeDocument/2006/relationships/image" Target="../media/image9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wmf"/><Relationship Id="rId3" Type="http://schemas.openxmlformats.org/officeDocument/2006/relationships/oleObject" Target="../embeddings/oleObject11.bin"/><Relationship Id="rId7" Type="http://schemas.openxmlformats.org/officeDocument/2006/relationships/oleObject" Target="../embeddings/oleObject1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7.wmf"/><Relationship Id="rId11" Type="http://schemas.openxmlformats.org/officeDocument/2006/relationships/comments" Target="../comments2.xml"/><Relationship Id="rId5" Type="http://schemas.openxmlformats.org/officeDocument/2006/relationships/oleObject" Target="../embeddings/oleObject12.bin"/><Relationship Id="rId10" Type="http://schemas.openxmlformats.org/officeDocument/2006/relationships/image" Target="../media/image13.wmf"/><Relationship Id="rId4" Type="http://schemas.openxmlformats.org/officeDocument/2006/relationships/image" Target="../media/image6.wmf"/><Relationship Id="rId9" Type="http://schemas.openxmlformats.org/officeDocument/2006/relationships/oleObject" Target="../embeddings/oleObject1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wmf"/><Relationship Id="rId3" Type="http://schemas.openxmlformats.org/officeDocument/2006/relationships/oleObject" Target="../embeddings/oleObject15.bin"/><Relationship Id="rId7" Type="http://schemas.openxmlformats.org/officeDocument/2006/relationships/oleObject" Target="../embeddings/oleObject17.bin"/><Relationship Id="rId12" Type="http://schemas.openxmlformats.org/officeDocument/2006/relationships/image" Target="../media/image13.wmf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6.wmf"/><Relationship Id="rId11" Type="http://schemas.openxmlformats.org/officeDocument/2006/relationships/oleObject" Target="../embeddings/oleObject19.bin"/><Relationship Id="rId5" Type="http://schemas.openxmlformats.org/officeDocument/2006/relationships/oleObject" Target="../embeddings/oleObject16.bin"/><Relationship Id="rId10" Type="http://schemas.openxmlformats.org/officeDocument/2006/relationships/image" Target="../media/image12.wmf"/><Relationship Id="rId4" Type="http://schemas.openxmlformats.org/officeDocument/2006/relationships/image" Target="../media/image5.wmf"/><Relationship Id="rId9" Type="http://schemas.openxmlformats.org/officeDocument/2006/relationships/oleObject" Target="../embeddings/oleObject18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58"/>
  <sheetViews>
    <sheetView zoomScale="87" zoomScaleNormal="55" workbookViewId="0">
      <selection activeCell="A25" sqref="A25"/>
    </sheetView>
  </sheetViews>
  <sheetFormatPr defaultRowHeight="14.4"/>
  <cols>
    <col min="1" max="1" width="19.33203125" customWidth="1"/>
    <col min="2" max="12" width="9.109375" customWidth="1"/>
    <col min="257" max="257" width="19.33203125" customWidth="1"/>
    <col min="258" max="268" width="9.109375" customWidth="1"/>
    <col min="513" max="513" width="19.33203125" customWidth="1"/>
    <col min="514" max="524" width="9.109375" customWidth="1"/>
    <col min="769" max="769" width="19.33203125" customWidth="1"/>
    <col min="770" max="780" width="9.109375" customWidth="1"/>
    <col min="1025" max="1025" width="19.33203125" customWidth="1"/>
    <col min="1026" max="1036" width="9.109375" customWidth="1"/>
    <col min="1281" max="1281" width="19.33203125" customWidth="1"/>
    <col min="1282" max="1292" width="9.109375" customWidth="1"/>
    <col min="1537" max="1537" width="19.33203125" customWidth="1"/>
    <col min="1538" max="1548" width="9.109375" customWidth="1"/>
    <col min="1793" max="1793" width="19.33203125" customWidth="1"/>
    <col min="1794" max="1804" width="9.109375" customWidth="1"/>
    <col min="2049" max="2049" width="19.33203125" customWidth="1"/>
    <col min="2050" max="2060" width="9.109375" customWidth="1"/>
    <col min="2305" max="2305" width="19.33203125" customWidth="1"/>
    <col min="2306" max="2316" width="9.109375" customWidth="1"/>
    <col min="2561" max="2561" width="19.33203125" customWidth="1"/>
    <col min="2562" max="2572" width="9.109375" customWidth="1"/>
    <col min="2817" max="2817" width="19.33203125" customWidth="1"/>
    <col min="2818" max="2828" width="9.109375" customWidth="1"/>
    <col min="3073" max="3073" width="19.33203125" customWidth="1"/>
    <col min="3074" max="3084" width="9.109375" customWidth="1"/>
    <col min="3329" max="3329" width="19.33203125" customWidth="1"/>
    <col min="3330" max="3340" width="9.109375" customWidth="1"/>
    <col min="3585" max="3585" width="19.33203125" customWidth="1"/>
    <col min="3586" max="3596" width="9.109375" customWidth="1"/>
    <col min="3841" max="3841" width="19.33203125" customWidth="1"/>
    <col min="3842" max="3852" width="9.109375" customWidth="1"/>
    <col min="4097" max="4097" width="19.33203125" customWidth="1"/>
    <col min="4098" max="4108" width="9.109375" customWidth="1"/>
    <col min="4353" max="4353" width="19.33203125" customWidth="1"/>
    <col min="4354" max="4364" width="9.109375" customWidth="1"/>
    <col min="4609" max="4609" width="19.33203125" customWidth="1"/>
    <col min="4610" max="4620" width="9.109375" customWidth="1"/>
    <col min="4865" max="4865" width="19.33203125" customWidth="1"/>
    <col min="4866" max="4876" width="9.109375" customWidth="1"/>
    <col min="5121" max="5121" width="19.33203125" customWidth="1"/>
    <col min="5122" max="5132" width="9.109375" customWidth="1"/>
    <col min="5377" max="5377" width="19.33203125" customWidth="1"/>
    <col min="5378" max="5388" width="9.109375" customWidth="1"/>
    <col min="5633" max="5633" width="19.33203125" customWidth="1"/>
    <col min="5634" max="5644" width="9.109375" customWidth="1"/>
    <col min="5889" max="5889" width="19.33203125" customWidth="1"/>
    <col min="5890" max="5900" width="9.109375" customWidth="1"/>
    <col min="6145" max="6145" width="19.33203125" customWidth="1"/>
    <col min="6146" max="6156" width="9.109375" customWidth="1"/>
    <col min="6401" max="6401" width="19.33203125" customWidth="1"/>
    <col min="6402" max="6412" width="9.109375" customWidth="1"/>
    <col min="6657" max="6657" width="19.33203125" customWidth="1"/>
    <col min="6658" max="6668" width="9.109375" customWidth="1"/>
    <col min="6913" max="6913" width="19.33203125" customWidth="1"/>
    <col min="6914" max="6924" width="9.109375" customWidth="1"/>
    <col min="7169" max="7169" width="19.33203125" customWidth="1"/>
    <col min="7170" max="7180" width="9.109375" customWidth="1"/>
    <col min="7425" max="7425" width="19.33203125" customWidth="1"/>
    <col min="7426" max="7436" width="9.109375" customWidth="1"/>
    <col min="7681" max="7681" width="19.33203125" customWidth="1"/>
    <col min="7682" max="7692" width="9.109375" customWidth="1"/>
    <col min="7937" max="7937" width="19.33203125" customWidth="1"/>
    <col min="7938" max="7948" width="9.109375" customWidth="1"/>
    <col min="8193" max="8193" width="19.33203125" customWidth="1"/>
    <col min="8194" max="8204" width="9.109375" customWidth="1"/>
    <col min="8449" max="8449" width="19.33203125" customWidth="1"/>
    <col min="8450" max="8460" width="9.109375" customWidth="1"/>
    <col min="8705" max="8705" width="19.33203125" customWidth="1"/>
    <col min="8706" max="8716" width="9.109375" customWidth="1"/>
    <col min="8961" max="8961" width="19.33203125" customWidth="1"/>
    <col min="8962" max="8972" width="9.109375" customWidth="1"/>
    <col min="9217" max="9217" width="19.33203125" customWidth="1"/>
    <col min="9218" max="9228" width="9.109375" customWidth="1"/>
    <col min="9473" max="9473" width="19.33203125" customWidth="1"/>
    <col min="9474" max="9484" width="9.109375" customWidth="1"/>
    <col min="9729" max="9729" width="19.33203125" customWidth="1"/>
    <col min="9730" max="9740" width="9.109375" customWidth="1"/>
    <col min="9985" max="9985" width="19.33203125" customWidth="1"/>
    <col min="9986" max="9996" width="9.109375" customWidth="1"/>
    <col min="10241" max="10241" width="19.33203125" customWidth="1"/>
    <col min="10242" max="10252" width="9.109375" customWidth="1"/>
    <col min="10497" max="10497" width="19.33203125" customWidth="1"/>
    <col min="10498" max="10508" width="9.109375" customWidth="1"/>
    <col min="10753" max="10753" width="19.33203125" customWidth="1"/>
    <col min="10754" max="10764" width="9.109375" customWidth="1"/>
    <col min="11009" max="11009" width="19.33203125" customWidth="1"/>
    <col min="11010" max="11020" width="9.109375" customWidth="1"/>
    <col min="11265" max="11265" width="19.33203125" customWidth="1"/>
    <col min="11266" max="11276" width="9.109375" customWidth="1"/>
    <col min="11521" max="11521" width="19.33203125" customWidth="1"/>
    <col min="11522" max="11532" width="9.109375" customWidth="1"/>
    <col min="11777" max="11777" width="19.33203125" customWidth="1"/>
    <col min="11778" max="11788" width="9.109375" customWidth="1"/>
    <col min="12033" max="12033" width="19.33203125" customWidth="1"/>
    <col min="12034" max="12044" width="9.109375" customWidth="1"/>
    <col min="12289" max="12289" width="19.33203125" customWidth="1"/>
    <col min="12290" max="12300" width="9.109375" customWidth="1"/>
    <col min="12545" max="12545" width="19.33203125" customWidth="1"/>
    <col min="12546" max="12556" width="9.109375" customWidth="1"/>
    <col min="12801" max="12801" width="19.33203125" customWidth="1"/>
    <col min="12802" max="12812" width="9.109375" customWidth="1"/>
    <col min="13057" max="13057" width="19.33203125" customWidth="1"/>
    <col min="13058" max="13068" width="9.109375" customWidth="1"/>
    <col min="13313" max="13313" width="19.33203125" customWidth="1"/>
    <col min="13314" max="13324" width="9.109375" customWidth="1"/>
    <col min="13569" max="13569" width="19.33203125" customWidth="1"/>
    <col min="13570" max="13580" width="9.109375" customWidth="1"/>
    <col min="13825" max="13825" width="19.33203125" customWidth="1"/>
    <col min="13826" max="13836" width="9.109375" customWidth="1"/>
    <col min="14081" max="14081" width="19.33203125" customWidth="1"/>
    <col min="14082" max="14092" width="9.109375" customWidth="1"/>
    <col min="14337" max="14337" width="19.33203125" customWidth="1"/>
    <col min="14338" max="14348" width="9.109375" customWidth="1"/>
    <col min="14593" max="14593" width="19.33203125" customWidth="1"/>
    <col min="14594" max="14604" width="9.109375" customWidth="1"/>
    <col min="14849" max="14849" width="19.33203125" customWidth="1"/>
    <col min="14850" max="14860" width="9.109375" customWidth="1"/>
    <col min="15105" max="15105" width="19.33203125" customWidth="1"/>
    <col min="15106" max="15116" width="9.109375" customWidth="1"/>
    <col min="15361" max="15361" width="19.33203125" customWidth="1"/>
    <col min="15362" max="15372" width="9.109375" customWidth="1"/>
    <col min="15617" max="15617" width="19.33203125" customWidth="1"/>
    <col min="15618" max="15628" width="9.109375" customWidth="1"/>
    <col min="15873" max="15873" width="19.33203125" customWidth="1"/>
    <col min="15874" max="15884" width="9.109375" customWidth="1"/>
    <col min="16129" max="16129" width="19.33203125" customWidth="1"/>
    <col min="16130" max="16140" width="9.109375" customWidth="1"/>
  </cols>
  <sheetData>
    <row r="1" spans="1:12" ht="138" customHeight="1"/>
    <row r="2" spans="1:12" ht="16.2" thickBot="1">
      <c r="A2" s="66" t="s">
        <v>60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8.600000000000001" thickBot="1">
      <c r="A3" s="43" t="s">
        <v>61</v>
      </c>
      <c r="B3" s="44">
        <v>0.3</v>
      </c>
      <c r="C3" s="45">
        <v>0.5</v>
      </c>
      <c r="D3" s="45">
        <v>0.7</v>
      </c>
      <c r="E3" s="45">
        <v>0.9</v>
      </c>
      <c r="F3" s="45">
        <v>1.1000000000000001</v>
      </c>
      <c r="G3" s="45">
        <v>1.3</v>
      </c>
      <c r="H3" s="45">
        <v>1.5</v>
      </c>
      <c r="I3" s="45">
        <v>1.7</v>
      </c>
      <c r="J3" s="45">
        <v>1.9</v>
      </c>
      <c r="K3" s="45">
        <v>2.1</v>
      </c>
      <c r="L3" s="45">
        <v>2.2999999999999998</v>
      </c>
    </row>
    <row r="4" spans="1:12" ht="18.600000000000001" thickBot="1">
      <c r="A4" s="43" t="s">
        <v>62</v>
      </c>
      <c r="B4" s="46">
        <v>7</v>
      </c>
      <c r="C4" s="47">
        <v>9</v>
      </c>
      <c r="D4" s="47">
        <v>28</v>
      </c>
      <c r="E4" s="47">
        <v>27</v>
      </c>
      <c r="F4" s="47">
        <v>30</v>
      </c>
      <c r="G4" s="47">
        <v>26</v>
      </c>
      <c r="H4" s="47">
        <v>21</v>
      </c>
      <c r="I4" s="47">
        <v>25</v>
      </c>
      <c r="J4" s="47">
        <v>22</v>
      </c>
      <c r="K4" s="47">
        <v>9</v>
      </c>
      <c r="L4" s="47">
        <v>5</v>
      </c>
    </row>
    <row r="5" spans="1:12" ht="19.2" thickBot="1">
      <c r="A5" s="48" t="s">
        <v>4</v>
      </c>
      <c r="B5" s="49">
        <f>(B3-$B$9)^2*B4</f>
        <v>6.4614930976854934</v>
      </c>
      <c r="C5" s="49">
        <f t="shared" ref="C5:L5" si="0">(C3-$B$9)^2*C4</f>
        <v>5.2088780018772471</v>
      </c>
      <c r="D5" s="49">
        <f t="shared" si="0"/>
        <v>8.8048240653831229</v>
      </c>
      <c r="E5" s="49">
        <f t="shared" si="0"/>
        <v>3.5140981204642765</v>
      </c>
      <c r="F5" s="49">
        <f t="shared" si="0"/>
        <v>0.77536686431171442</v>
      </c>
      <c r="G5" s="49">
        <f t="shared" si="0"/>
        <v>4.0022893248780854E-2</v>
      </c>
      <c r="H5" s="49">
        <f t="shared" si="0"/>
        <v>1.2018955609990605</v>
      </c>
      <c r="I5" s="49">
        <f t="shared" si="0"/>
        <v>4.8231725464160586</v>
      </c>
      <c r="J5" s="49">
        <f t="shared" si="0"/>
        <v>8.9896549987408658</v>
      </c>
      <c r="K5" s="49">
        <f t="shared" si="0"/>
        <v>6.3388301549872939</v>
      </c>
      <c r="L5" s="49">
        <f t="shared" si="0"/>
        <v>5.4000412078478028</v>
      </c>
    </row>
    <row r="7" spans="1:12" ht="15.6">
      <c r="A7" s="50" t="s">
        <v>16</v>
      </c>
      <c r="B7">
        <f>SUM(B4:L4)</f>
        <v>209</v>
      </c>
      <c r="E7" s="51" t="s">
        <v>17</v>
      </c>
      <c r="F7" t="s">
        <v>63</v>
      </c>
    </row>
    <row r="8" spans="1:12">
      <c r="A8" s="50" t="s">
        <v>64</v>
      </c>
      <c r="B8">
        <f>C3-B3</f>
        <v>0.2</v>
      </c>
    </row>
    <row r="9" spans="1:12">
      <c r="A9" s="52" t="s">
        <v>65</v>
      </c>
      <c r="B9" s="53">
        <f>SUMPRODUCT(B3:L3,B4:L4)/B7</f>
        <v>1.2607655502392345</v>
      </c>
    </row>
    <row r="10" spans="1:12">
      <c r="A10" t="s">
        <v>66</v>
      </c>
      <c r="B10" s="27">
        <f>SUM(B5:L5)/(B7-1)</f>
        <v>0.24787633419212365</v>
      </c>
    </row>
    <row r="11" spans="1:12">
      <c r="A11" s="52" t="s">
        <v>67</v>
      </c>
      <c r="B11" s="27">
        <f>SQRT(B10)</f>
        <v>0.49787180497807232</v>
      </c>
    </row>
    <row r="13" spans="1:12" ht="28.5" customHeight="1">
      <c r="A13" s="36" t="s">
        <v>53</v>
      </c>
    </row>
    <row r="15" spans="1:12" ht="19.2">
      <c r="A15" s="54" t="s">
        <v>68</v>
      </c>
    </row>
    <row r="16" spans="1:12" ht="18">
      <c r="A16" s="55" t="s">
        <v>61</v>
      </c>
      <c r="B16" s="5">
        <f>B3</f>
        <v>0.3</v>
      </c>
      <c r="C16" s="5">
        <f t="shared" ref="C16:L17" si="1">C3</f>
        <v>0.5</v>
      </c>
      <c r="D16" s="5">
        <f t="shared" si="1"/>
        <v>0.7</v>
      </c>
      <c r="E16" s="5">
        <f t="shared" si="1"/>
        <v>0.9</v>
      </c>
      <c r="F16" s="5">
        <f t="shared" si="1"/>
        <v>1.1000000000000001</v>
      </c>
      <c r="G16" s="5">
        <f t="shared" si="1"/>
        <v>1.3</v>
      </c>
      <c r="H16" s="5">
        <f t="shared" si="1"/>
        <v>1.5</v>
      </c>
      <c r="I16" s="5">
        <f t="shared" si="1"/>
        <v>1.7</v>
      </c>
      <c r="J16" s="5">
        <f t="shared" si="1"/>
        <v>1.9</v>
      </c>
      <c r="K16" s="5">
        <f t="shared" si="1"/>
        <v>2.1</v>
      </c>
      <c r="L16" s="5">
        <f t="shared" si="1"/>
        <v>2.2999999999999998</v>
      </c>
    </row>
    <row r="17" spans="1:13" ht="18">
      <c r="A17" s="55" t="s">
        <v>62</v>
      </c>
      <c r="B17" s="5">
        <f>B4</f>
        <v>7</v>
      </c>
      <c r="C17" s="5">
        <f t="shared" si="1"/>
        <v>9</v>
      </c>
      <c r="D17" s="5">
        <f t="shared" si="1"/>
        <v>28</v>
      </c>
      <c r="E17" s="5">
        <f t="shared" si="1"/>
        <v>27</v>
      </c>
      <c r="F17" s="5">
        <f t="shared" si="1"/>
        <v>30</v>
      </c>
      <c r="G17" s="5">
        <f t="shared" si="1"/>
        <v>26</v>
      </c>
      <c r="H17" s="5">
        <f t="shared" si="1"/>
        <v>21</v>
      </c>
      <c r="I17" s="5">
        <f t="shared" si="1"/>
        <v>25</v>
      </c>
      <c r="J17" s="5">
        <f t="shared" si="1"/>
        <v>22</v>
      </c>
      <c r="K17" s="5">
        <f t="shared" si="1"/>
        <v>9</v>
      </c>
      <c r="L17" s="5">
        <f t="shared" si="1"/>
        <v>5</v>
      </c>
    </row>
    <row r="18" spans="1:13" ht="18">
      <c r="A18" s="55" t="s">
        <v>69</v>
      </c>
      <c r="B18" s="26">
        <f>(B16-$B$9)/$B$11</f>
        <v>-1.9297448472334144</v>
      </c>
      <c r="C18" s="26">
        <f t="shared" ref="C18:L18" si="2">(C16-$B$9)/$B$11</f>
        <v>-1.5280350134965783</v>
      </c>
      <c r="D18" s="26">
        <f t="shared" si="2"/>
        <v>-1.1263251797597422</v>
      </c>
      <c r="E18" s="26">
        <f t="shared" si="2"/>
        <v>-0.72461534602290578</v>
      </c>
      <c r="F18" s="26">
        <f t="shared" si="2"/>
        <v>-0.32290551228606934</v>
      </c>
      <c r="G18" s="26">
        <f t="shared" si="2"/>
        <v>7.8804321450766837E-2</v>
      </c>
      <c r="H18" s="26">
        <f t="shared" si="2"/>
        <v>0.48051415518760304</v>
      </c>
      <c r="I18" s="26">
        <f t="shared" si="2"/>
        <v>0.88222398892443921</v>
      </c>
      <c r="J18" s="26">
        <f t="shared" si="2"/>
        <v>1.2839338226612753</v>
      </c>
      <c r="K18" s="26">
        <f t="shared" si="2"/>
        <v>1.6856436563981121</v>
      </c>
      <c r="L18" s="26">
        <f t="shared" si="2"/>
        <v>2.0873534901349475</v>
      </c>
    </row>
    <row r="19" spans="1:13" ht="18">
      <c r="A19" s="55" t="s">
        <v>70</v>
      </c>
      <c r="B19" s="26">
        <f>EXP(-B18*B18/2)/SQRT(2*PI())</f>
        <v>6.1982938275296967E-2</v>
      </c>
      <c r="C19" s="26">
        <f t="shared" ref="C19:L19" si="3">EXP(-C18*C18/2)/SQRT(2*PI())</f>
        <v>0.12413519383370779</v>
      </c>
      <c r="D19" s="26">
        <f t="shared" si="3"/>
        <v>0.21156082387955938</v>
      </c>
      <c r="E19" s="26">
        <f t="shared" si="3"/>
        <v>0.30682668553179532</v>
      </c>
      <c r="F19" s="26">
        <f t="shared" si="3"/>
        <v>0.37867668262035503</v>
      </c>
      <c r="G19" s="26">
        <f t="shared" si="3"/>
        <v>0.39770546166121151</v>
      </c>
      <c r="H19" s="26">
        <f t="shared" si="3"/>
        <v>0.35544474888143979</v>
      </c>
      <c r="I19" s="26">
        <f t="shared" si="3"/>
        <v>0.27033371099285564</v>
      </c>
      <c r="J19" s="26">
        <f t="shared" si="3"/>
        <v>0.17496285868117395</v>
      </c>
      <c r="K19" s="26">
        <f t="shared" si="3"/>
        <v>9.6362727012440766E-2</v>
      </c>
      <c r="L19" s="26">
        <f t="shared" si="3"/>
        <v>4.5163735342893099E-2</v>
      </c>
    </row>
    <row r="20" spans="1:13" ht="19.8">
      <c r="A20" s="56" t="s">
        <v>71</v>
      </c>
      <c r="B20" s="57">
        <f>$B$7*$B$8/$B$11*B19</f>
        <v>5.2039235682798379</v>
      </c>
      <c r="C20" s="57">
        <f t="shared" ref="C20:L20" si="4">$B$7*$B$8/$B$11*C19</f>
        <v>10.422062567848199</v>
      </c>
      <c r="D20" s="57">
        <f t="shared" si="4"/>
        <v>17.762087247650154</v>
      </c>
      <c r="E20" s="57">
        <f t="shared" si="4"/>
        <v>25.76035703767943</v>
      </c>
      <c r="F20" s="57">
        <f t="shared" si="4"/>
        <v>31.792692768026868</v>
      </c>
      <c r="G20" s="57">
        <f t="shared" si="4"/>
        <v>33.390298729952811</v>
      </c>
      <c r="H20" s="57">
        <f t="shared" si="4"/>
        <v>29.842201053941093</v>
      </c>
      <c r="I20" s="57">
        <f t="shared" si="4"/>
        <v>22.696503410148019</v>
      </c>
      <c r="J20" s="57">
        <f t="shared" si="4"/>
        <v>14.689418882025619</v>
      </c>
      <c r="K20" s="57">
        <f t="shared" si="4"/>
        <v>8.090359704738507</v>
      </c>
      <c r="L20" s="57">
        <f t="shared" si="4"/>
        <v>3.7918277726453655</v>
      </c>
      <c r="M20" s="58">
        <f>SUM(B20:L20)</f>
        <v>203.44173274293593</v>
      </c>
    </row>
    <row r="21" spans="1:13" ht="19.8">
      <c r="A21" s="59" t="s">
        <v>72</v>
      </c>
      <c r="B21" s="7">
        <f>B20*$B$7/$M$20</f>
        <v>5.3461008766808753</v>
      </c>
      <c r="C21" s="7">
        <f t="shared" ref="C21:L21" si="5">C20*$B$7/$M$20</f>
        <v>10.706805566941412</v>
      </c>
      <c r="D21" s="7">
        <f t="shared" si="5"/>
        <v>18.247368348212138</v>
      </c>
      <c r="E21" s="7">
        <f t="shared" si="5"/>
        <v>26.464160269800619</v>
      </c>
      <c r="F21" s="7">
        <f t="shared" si="5"/>
        <v>32.661306502504395</v>
      </c>
      <c r="G21" s="7">
        <f t="shared" si="5"/>
        <v>34.302560937082134</v>
      </c>
      <c r="H21" s="7">
        <f t="shared" si="5"/>
        <v>30.657525062247856</v>
      </c>
      <c r="I21" s="7">
        <f t="shared" si="5"/>
        <v>23.316598560015194</v>
      </c>
      <c r="J21" s="7">
        <f t="shared" si="5"/>
        <v>15.09075107132834</v>
      </c>
      <c r="K21" s="7">
        <f t="shared" si="5"/>
        <v>8.3113978410069365</v>
      </c>
      <c r="L21" s="7">
        <f t="shared" si="5"/>
        <v>3.8954249641800645</v>
      </c>
      <c r="M21" s="11">
        <f>SUM(B21:L21)</f>
        <v>208.99999999999994</v>
      </c>
    </row>
    <row r="23" spans="1:13" ht="15.6">
      <c r="A23" t="s">
        <v>73</v>
      </c>
    </row>
    <row r="24" spans="1:13" ht="18">
      <c r="A24" s="55" t="s">
        <v>62</v>
      </c>
      <c r="B24" s="5">
        <f>B17</f>
        <v>7</v>
      </c>
      <c r="C24" s="5">
        <f t="shared" ref="C24:J24" si="6">C17</f>
        <v>9</v>
      </c>
      <c r="D24" s="5">
        <f t="shared" si="6"/>
        <v>28</v>
      </c>
      <c r="E24" s="5">
        <f t="shared" si="6"/>
        <v>27</v>
      </c>
      <c r="F24" s="5">
        <f t="shared" si="6"/>
        <v>30</v>
      </c>
      <c r="G24" s="5">
        <f t="shared" si="6"/>
        <v>26</v>
      </c>
      <c r="H24" s="5">
        <f t="shared" si="6"/>
        <v>21</v>
      </c>
      <c r="I24" s="5">
        <f t="shared" si="6"/>
        <v>25</v>
      </c>
      <c r="J24" s="5">
        <f t="shared" si="6"/>
        <v>22</v>
      </c>
      <c r="K24" s="5">
        <f>K17+L17</f>
        <v>14</v>
      </c>
    </row>
    <row r="25" spans="1:13" ht="19.8">
      <c r="A25" s="59" t="s">
        <v>72</v>
      </c>
      <c r="B25" s="7">
        <f>B21</f>
        <v>5.3461008766808753</v>
      </c>
      <c r="C25" s="7">
        <f t="shared" ref="C25:J25" si="7">C21</f>
        <v>10.706805566941412</v>
      </c>
      <c r="D25" s="7">
        <f t="shared" si="7"/>
        <v>18.247368348212138</v>
      </c>
      <c r="E25" s="7">
        <f t="shared" si="7"/>
        <v>26.464160269800619</v>
      </c>
      <c r="F25" s="7">
        <f t="shared" si="7"/>
        <v>32.661306502504395</v>
      </c>
      <c r="G25" s="7">
        <f t="shared" si="7"/>
        <v>34.302560937082134</v>
      </c>
      <c r="H25" s="7">
        <f t="shared" si="7"/>
        <v>30.657525062247856</v>
      </c>
      <c r="I25" s="7">
        <f t="shared" si="7"/>
        <v>23.316598560015194</v>
      </c>
      <c r="J25" s="7">
        <f t="shared" si="7"/>
        <v>15.09075107132834</v>
      </c>
      <c r="K25" s="7">
        <f>K21+L21</f>
        <v>12.206822805187</v>
      </c>
    </row>
    <row r="26" spans="1:13" ht="18.600000000000001">
      <c r="A26" s="60" t="s">
        <v>56</v>
      </c>
      <c r="B26" s="26">
        <f>(B24-B25)^2/B25</f>
        <v>0.51165931455712266</v>
      </c>
      <c r="C26" s="26">
        <f t="shared" ref="C26:K26" si="8">(C24-C25)^2/C25</f>
        <v>0.27208724629659992</v>
      </c>
      <c r="D26" s="26">
        <f t="shared" si="8"/>
        <v>5.212468029384282</v>
      </c>
      <c r="E26" s="26">
        <f t="shared" si="8"/>
        <v>1.0849549486283729E-2</v>
      </c>
      <c r="F26" s="26">
        <f t="shared" si="8"/>
        <v>0.21684840744901318</v>
      </c>
      <c r="G26" s="26">
        <f t="shared" si="8"/>
        <v>2.0095443672674587</v>
      </c>
      <c r="H26" s="26">
        <f t="shared" si="8"/>
        <v>3.0422478702560647</v>
      </c>
      <c r="I26" s="26">
        <f t="shared" si="8"/>
        <v>0.12153747043544208</v>
      </c>
      <c r="J26" s="26">
        <f t="shared" si="8"/>
        <v>3.1633760660892305</v>
      </c>
      <c r="K26" s="26">
        <f t="shared" si="8"/>
        <v>0.26341698436312799</v>
      </c>
    </row>
    <row r="29" spans="1:13" ht="16.8">
      <c r="B29" s="13" t="s">
        <v>39</v>
      </c>
      <c r="C29" s="40">
        <f>SUM(B26:K26)</f>
        <v>14.824035305584625</v>
      </c>
      <c r="D29" t="s">
        <v>40</v>
      </c>
    </row>
    <row r="30" spans="1:13">
      <c r="B30" s="13"/>
    </row>
    <row r="31" spans="1:13">
      <c r="B31" s="13" t="s">
        <v>41</v>
      </c>
      <c r="C31" s="29">
        <v>10</v>
      </c>
      <c r="D31" t="s">
        <v>42</v>
      </c>
    </row>
    <row r="32" spans="1:13">
      <c r="B32" s="13" t="s">
        <v>43</v>
      </c>
      <c r="C32" s="29">
        <v>2</v>
      </c>
      <c r="D32" t="s">
        <v>44</v>
      </c>
    </row>
    <row r="33" spans="1:12">
      <c r="B33" s="20" t="s">
        <v>23</v>
      </c>
      <c r="C33" s="29">
        <v>0.05</v>
      </c>
      <c r="D33" t="s">
        <v>24</v>
      </c>
    </row>
    <row r="34" spans="1:12">
      <c r="B34" s="20" t="s">
        <v>45</v>
      </c>
      <c r="C34" s="29">
        <f>C31-1-C32</f>
        <v>7</v>
      </c>
      <c r="D34" s="29" t="s">
        <v>46</v>
      </c>
    </row>
    <row r="35" spans="1:12" ht="16.8">
      <c r="B35" s="13" t="s">
        <v>47</v>
      </c>
      <c r="C35" s="30">
        <f>CHIINV(C33,C34)</f>
        <v>14.067140449340167</v>
      </c>
    </row>
    <row r="38" spans="1:12" ht="16.8">
      <c r="C38" s="20" t="s">
        <v>58</v>
      </c>
    </row>
    <row r="41" spans="1:12" ht="23.4">
      <c r="A41" s="36" t="s">
        <v>59</v>
      </c>
    </row>
    <row r="43" spans="1:12" ht="18">
      <c r="A43" s="61" t="s">
        <v>61</v>
      </c>
      <c r="B43" s="5">
        <f>B3</f>
        <v>0.3</v>
      </c>
      <c r="C43" s="5">
        <f t="shared" ref="C43:L44" si="9">C3</f>
        <v>0.5</v>
      </c>
      <c r="D43" s="5">
        <f t="shared" si="9"/>
        <v>0.7</v>
      </c>
      <c r="E43" s="5">
        <f t="shared" si="9"/>
        <v>0.9</v>
      </c>
      <c r="F43" s="5">
        <f t="shared" si="9"/>
        <v>1.1000000000000001</v>
      </c>
      <c r="G43" s="5">
        <f t="shared" si="9"/>
        <v>1.3</v>
      </c>
      <c r="H43" s="5">
        <f t="shared" si="9"/>
        <v>1.5</v>
      </c>
      <c r="I43" s="5">
        <f t="shared" si="9"/>
        <v>1.7</v>
      </c>
      <c r="J43" s="5">
        <f t="shared" si="9"/>
        <v>1.9</v>
      </c>
      <c r="K43" s="5">
        <f t="shared" si="9"/>
        <v>2.1</v>
      </c>
      <c r="L43" s="5">
        <f t="shared" si="9"/>
        <v>2.2999999999999998</v>
      </c>
    </row>
    <row r="44" spans="1:12" ht="18">
      <c r="A44" s="61" t="s">
        <v>62</v>
      </c>
      <c r="B44" s="5">
        <f>B4</f>
        <v>7</v>
      </c>
      <c r="C44" s="5">
        <f t="shared" si="9"/>
        <v>9</v>
      </c>
      <c r="D44" s="5">
        <f t="shared" si="9"/>
        <v>28</v>
      </c>
      <c r="E44" s="5">
        <f t="shared" si="9"/>
        <v>27</v>
      </c>
      <c r="F44" s="5">
        <f t="shared" si="9"/>
        <v>30</v>
      </c>
      <c r="G44" s="5">
        <f t="shared" si="9"/>
        <v>26</v>
      </c>
      <c r="H44" s="5">
        <f t="shared" si="9"/>
        <v>21</v>
      </c>
      <c r="I44" s="5">
        <f t="shared" si="9"/>
        <v>25</v>
      </c>
      <c r="J44" s="5">
        <f t="shared" si="9"/>
        <v>22</v>
      </c>
      <c r="K44" s="5">
        <f t="shared" si="9"/>
        <v>9</v>
      </c>
      <c r="L44" s="5">
        <f t="shared" si="9"/>
        <v>5</v>
      </c>
    </row>
    <row r="45" spans="1:12" ht="15.6">
      <c r="A45" s="62" t="s">
        <v>74</v>
      </c>
      <c r="B45" s="5">
        <f>B44</f>
        <v>7</v>
      </c>
      <c r="C45" s="5">
        <f>B45+C44</f>
        <v>16</v>
      </c>
      <c r="D45" s="5">
        <f t="shared" ref="D45:L45" si="10">C45+D44</f>
        <v>44</v>
      </c>
      <c r="E45" s="5">
        <f t="shared" si="10"/>
        <v>71</v>
      </c>
      <c r="F45" s="5">
        <f t="shared" si="10"/>
        <v>101</v>
      </c>
      <c r="G45" s="5">
        <f t="shared" si="10"/>
        <v>127</v>
      </c>
      <c r="H45" s="5">
        <f t="shared" si="10"/>
        <v>148</v>
      </c>
      <c r="I45" s="5">
        <f t="shared" si="10"/>
        <v>173</v>
      </c>
      <c r="J45" s="5">
        <f t="shared" si="10"/>
        <v>195</v>
      </c>
      <c r="K45" s="5">
        <f t="shared" si="10"/>
        <v>204</v>
      </c>
      <c r="L45" s="5">
        <f t="shared" si="10"/>
        <v>209</v>
      </c>
    </row>
    <row r="46" spans="1:12" ht="15" customHeight="1">
      <c r="A46" s="62" t="s">
        <v>75</v>
      </c>
      <c r="B46" s="10">
        <f>B45/$B$7</f>
        <v>3.3492822966507178E-2</v>
      </c>
      <c r="C46" s="10">
        <f t="shared" ref="C46:L46" si="11">C45/$B$7</f>
        <v>7.6555023923444973E-2</v>
      </c>
      <c r="D46" s="10">
        <f t="shared" si="11"/>
        <v>0.21052631578947367</v>
      </c>
      <c r="E46" s="10">
        <f t="shared" si="11"/>
        <v>0.33971291866028708</v>
      </c>
      <c r="F46" s="10">
        <f t="shared" si="11"/>
        <v>0.48325358851674644</v>
      </c>
      <c r="G46" s="10">
        <f t="shared" si="11"/>
        <v>0.60765550239234445</v>
      </c>
      <c r="H46" s="10">
        <f t="shared" si="11"/>
        <v>0.70813397129186606</v>
      </c>
      <c r="I46" s="10">
        <f t="shared" si="11"/>
        <v>0.82775119617224879</v>
      </c>
      <c r="J46" s="10">
        <f t="shared" si="11"/>
        <v>0.93301435406698563</v>
      </c>
      <c r="K46" s="10">
        <f t="shared" si="11"/>
        <v>0.97607655502392343</v>
      </c>
      <c r="L46" s="10">
        <f t="shared" si="11"/>
        <v>1</v>
      </c>
    </row>
    <row r="47" spans="1:12" ht="15" customHeight="1">
      <c r="A47" s="62" t="s">
        <v>76</v>
      </c>
      <c r="B47" s="7">
        <f>(B43-$B$9)/$B$11</f>
        <v>-1.9297448472334144</v>
      </c>
      <c r="C47" s="7">
        <f t="shared" ref="C47:L47" si="12">(C43-$B$9)/$B$11</f>
        <v>-1.5280350134965783</v>
      </c>
      <c r="D47" s="7">
        <f t="shared" si="12"/>
        <v>-1.1263251797597422</v>
      </c>
      <c r="E47" s="7">
        <f t="shared" si="12"/>
        <v>-0.72461534602290578</v>
      </c>
      <c r="F47" s="7">
        <f t="shared" si="12"/>
        <v>-0.32290551228606934</v>
      </c>
      <c r="G47" s="7">
        <f t="shared" si="12"/>
        <v>7.8804321450766837E-2</v>
      </c>
      <c r="H47" s="7">
        <f t="shared" si="12"/>
        <v>0.48051415518760304</v>
      </c>
      <c r="I47" s="7">
        <f t="shared" si="12"/>
        <v>0.88222398892443921</v>
      </c>
      <c r="J47" s="7">
        <f t="shared" si="12"/>
        <v>1.2839338226612753</v>
      </c>
      <c r="K47" s="7">
        <f t="shared" si="12"/>
        <v>1.6856436563981121</v>
      </c>
      <c r="L47" s="7">
        <f t="shared" si="12"/>
        <v>2.0873534901349475</v>
      </c>
    </row>
    <row r="48" spans="1:12" ht="15.6">
      <c r="A48" s="62" t="s">
        <v>77</v>
      </c>
      <c r="B48" s="10">
        <f>NORMDIST(B43,$B$9,$B$11,TRUE)</f>
        <v>2.6819230102182557E-2</v>
      </c>
      <c r="C48" s="10">
        <f t="shared" ref="C48:L48" si="13">NORMDIST(C43,$B$9,$B$11,TRUE)</f>
        <v>6.3251922454889239E-2</v>
      </c>
      <c r="D48" s="10">
        <f t="shared" si="13"/>
        <v>0.13001395176562439</v>
      </c>
      <c r="E48" s="10">
        <f t="shared" si="13"/>
        <v>0.23434402086825665</v>
      </c>
      <c r="F48" s="10">
        <f t="shared" si="13"/>
        <v>0.37338340078014443</v>
      </c>
      <c r="G48" s="10">
        <f t="shared" si="13"/>
        <v>0.53140586664038203</v>
      </c>
      <c r="H48" s="10">
        <f t="shared" si="13"/>
        <v>0.68456907981459358</v>
      </c>
      <c r="I48" s="10">
        <f t="shared" si="13"/>
        <v>0.81117215410499255</v>
      </c>
      <c r="J48" s="10">
        <f t="shared" si="13"/>
        <v>0.90041744420530745</v>
      </c>
      <c r="K48" s="10">
        <f t="shared" si="13"/>
        <v>0.95406777239069096</v>
      </c>
      <c r="L48" s="10">
        <f t="shared" si="13"/>
        <v>0.98157190355268509</v>
      </c>
    </row>
    <row r="49" spans="1:12" ht="15.6">
      <c r="A49" s="62" t="s">
        <v>78</v>
      </c>
      <c r="B49" s="10">
        <f>ABS(B46-B48)</f>
        <v>6.6735928643246213E-3</v>
      </c>
      <c r="C49" s="10">
        <f t="shared" ref="C49:L49" si="14">ABS(C46-C48)</f>
        <v>1.3303101468555734E-2</v>
      </c>
      <c r="D49" s="10">
        <f t="shared" si="14"/>
        <v>8.0512364023849287E-2</v>
      </c>
      <c r="E49" s="10">
        <f t="shared" si="14"/>
        <v>0.10536889779203043</v>
      </c>
      <c r="F49" s="10">
        <f t="shared" si="14"/>
        <v>0.10987018773660201</v>
      </c>
      <c r="G49" s="10">
        <f t="shared" si="14"/>
        <v>7.6249635751962419E-2</v>
      </c>
      <c r="H49" s="10">
        <f t="shared" si="14"/>
        <v>2.3564891477272476E-2</v>
      </c>
      <c r="I49" s="10">
        <f t="shared" si="14"/>
        <v>1.6579042067256244E-2</v>
      </c>
      <c r="J49" s="10">
        <f t="shared" si="14"/>
        <v>3.259690986167818E-2</v>
      </c>
      <c r="K49" s="10">
        <f t="shared" si="14"/>
        <v>2.2008782633232471E-2</v>
      </c>
      <c r="L49" s="10">
        <f t="shared" si="14"/>
        <v>1.8428096447314912E-2</v>
      </c>
    </row>
    <row r="51" spans="1:12">
      <c r="A51" s="13" t="s">
        <v>15</v>
      </c>
      <c r="B51" s="14">
        <f>B7</f>
        <v>209</v>
      </c>
    </row>
    <row r="52" spans="1:12" ht="15.6">
      <c r="A52" s="13" t="s">
        <v>18</v>
      </c>
      <c r="B52" s="42">
        <f>MAX(B49:L49)</f>
        <v>0.10987018773660201</v>
      </c>
      <c r="F52" s="13" t="s">
        <v>19</v>
      </c>
      <c r="G52" s="18"/>
    </row>
    <row r="53" spans="1:12">
      <c r="A53" s="19" t="s">
        <v>21</v>
      </c>
      <c r="B53" s="14">
        <f>B52*SQRT(B51)</f>
        <v>1.5883748783063525</v>
      </c>
    </row>
    <row r="54" spans="1:12">
      <c r="A54" s="20" t="s">
        <v>23</v>
      </c>
      <c r="B54" s="11">
        <v>0.05</v>
      </c>
      <c r="C54" t="s">
        <v>24</v>
      </c>
    </row>
    <row r="55" spans="1:12" ht="15.6">
      <c r="A55" s="21" t="s">
        <v>26</v>
      </c>
      <c r="B55" s="11">
        <v>1.3580000000000001</v>
      </c>
    </row>
    <row r="58" spans="1:12" ht="15.6">
      <c r="B58" s="21" t="s">
        <v>34</v>
      </c>
    </row>
  </sheetData>
  <mergeCells count="1">
    <mergeCell ref="A2:L2"/>
  </mergeCells>
  <conditionalFormatting sqref="B58">
    <cfRule type="expression" dxfId="13" priority="1" stopIfTrue="1">
      <formula>$B$53&gt;=$B$55</formula>
    </cfRule>
    <cfRule type="expression" dxfId="12" priority="2" stopIfTrue="1">
      <formula>$B$53&lt;$B$55</formula>
    </cfRule>
  </conditionalFormatting>
  <conditionalFormatting sqref="C38">
    <cfRule type="expression" dxfId="11" priority="3" stopIfTrue="1">
      <formula>$C$29&gt;=$C$35</formula>
    </cfRule>
    <cfRule type="expression" dxfId="10" priority="4" stopIfTrue="1">
      <formula>$C$29&lt;$C$35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3073" r:id="rId4">
          <objectPr defaultSize="0" autoPict="0" r:id="rId5">
            <anchor moveWithCells="1" sizeWithCells="1">
              <from>
                <xdr:col>13</xdr:col>
                <xdr:colOff>0</xdr:colOff>
                <xdr:row>14</xdr:row>
                <xdr:rowOff>45720</xdr:rowOff>
              </from>
              <to>
                <xdr:col>15</xdr:col>
                <xdr:colOff>251460</xdr:colOff>
                <xdr:row>16</xdr:row>
                <xdr:rowOff>220980</xdr:rowOff>
              </to>
            </anchor>
          </objectPr>
        </oleObject>
      </mc:Choice>
      <mc:Fallback>
        <oleObject progId="Equation.DSMT4" shapeId="3073" r:id="rId4"/>
      </mc:Fallback>
    </mc:AlternateContent>
    <mc:AlternateContent xmlns:mc="http://schemas.openxmlformats.org/markup-compatibility/2006">
      <mc:Choice Requires="x14">
        <oleObject progId="Equation.DSMT4" shapeId="3074" r:id="rId6">
          <objectPr defaultSize="0" autoPict="0" r:id="rId7">
            <anchor moveWithCells="1" sizeWithCells="1">
              <from>
                <xdr:col>16</xdr:col>
                <xdr:colOff>22860</xdr:colOff>
                <xdr:row>13</xdr:row>
                <xdr:rowOff>160020</xdr:rowOff>
              </from>
              <to>
                <xdr:col>17</xdr:col>
                <xdr:colOff>449580</xdr:colOff>
                <xdr:row>16</xdr:row>
                <xdr:rowOff>213360</xdr:rowOff>
              </to>
            </anchor>
          </objectPr>
        </oleObject>
      </mc:Choice>
      <mc:Fallback>
        <oleObject progId="Equation.DSMT4" shapeId="3074" r:id="rId6"/>
      </mc:Fallback>
    </mc:AlternateContent>
    <mc:AlternateContent xmlns:mc="http://schemas.openxmlformats.org/markup-compatibility/2006">
      <mc:Choice Requires="x14">
        <oleObject progId="Equation.DSMT4" shapeId="3075" r:id="rId8">
          <objectPr defaultSize="0" autoPict="0" r:id="rId9">
            <anchor moveWithCells="1" sizeWithCells="1">
              <from>
                <xdr:col>18</xdr:col>
                <xdr:colOff>83820</xdr:colOff>
                <xdr:row>13</xdr:row>
                <xdr:rowOff>175260</xdr:rowOff>
              </from>
              <to>
                <xdr:col>20</xdr:col>
                <xdr:colOff>76200</xdr:colOff>
                <xdr:row>16</xdr:row>
                <xdr:rowOff>152400</xdr:rowOff>
              </to>
            </anchor>
          </objectPr>
        </oleObject>
      </mc:Choice>
      <mc:Fallback>
        <oleObject progId="Equation.DSMT4" shapeId="3075" r:id="rId8"/>
      </mc:Fallback>
    </mc:AlternateContent>
    <mc:AlternateContent xmlns:mc="http://schemas.openxmlformats.org/markup-compatibility/2006">
      <mc:Choice Requires="x14">
        <oleObject progId="Equation.DSMT4" shapeId="3076" r:id="rId10">
          <objectPr defaultSize="0" autoPict="0" r:id="rId11">
            <anchor moveWithCells="1" sizeWithCells="1">
              <from>
                <xdr:col>14</xdr:col>
                <xdr:colOff>99060</xdr:colOff>
                <xdr:row>17</xdr:row>
                <xdr:rowOff>106680</xdr:rowOff>
              </from>
              <to>
                <xdr:col>18</xdr:col>
                <xdr:colOff>175260</xdr:colOff>
                <xdr:row>20</xdr:row>
                <xdr:rowOff>99060</xdr:rowOff>
              </to>
            </anchor>
          </objectPr>
        </oleObject>
      </mc:Choice>
      <mc:Fallback>
        <oleObject progId="Equation.DSMT4" shapeId="3076" r:id="rId10"/>
      </mc:Fallback>
    </mc:AlternateContent>
    <mc:AlternateContent xmlns:mc="http://schemas.openxmlformats.org/markup-compatibility/2006">
      <mc:Choice Requires="x14">
        <oleObject progId="Equation.DSMT4" shapeId="3077" r:id="rId12">
          <objectPr defaultSize="0" autoPict="0" r:id="rId7">
            <anchor moveWithCells="1" sizeWithCells="1">
              <from>
                <xdr:col>12</xdr:col>
                <xdr:colOff>274320</xdr:colOff>
                <xdr:row>42</xdr:row>
                <xdr:rowOff>152400</xdr:rowOff>
              </from>
              <to>
                <xdr:col>14</xdr:col>
                <xdr:colOff>99060</xdr:colOff>
                <xdr:row>45</xdr:row>
                <xdr:rowOff>144780</xdr:rowOff>
              </to>
            </anchor>
          </objectPr>
        </oleObject>
      </mc:Choice>
      <mc:Fallback>
        <oleObject progId="Equation.DSMT4" shapeId="3077" r:id="rId12"/>
      </mc:Fallback>
    </mc:AlternateContent>
    <mc:AlternateContent xmlns:mc="http://schemas.openxmlformats.org/markup-compatibility/2006">
      <mc:Choice Requires="x14">
        <oleObject progId="Equation.3" shapeId="3078" r:id="rId13">
          <objectPr defaultSize="0" autoPict="0" r:id="rId14">
            <anchor moveWithCells="1" sizeWithCells="1">
              <from>
                <xdr:col>12</xdr:col>
                <xdr:colOff>274320</xdr:colOff>
                <xdr:row>46</xdr:row>
                <xdr:rowOff>60960</xdr:rowOff>
              </from>
              <to>
                <xdr:col>15</xdr:col>
                <xdr:colOff>579120</xdr:colOff>
                <xdr:row>49</xdr:row>
                <xdr:rowOff>7620</xdr:rowOff>
              </to>
            </anchor>
          </objectPr>
        </oleObject>
      </mc:Choice>
      <mc:Fallback>
        <oleObject progId="Equation.3" shapeId="3078" r:id="rId13"/>
      </mc:Fallback>
    </mc:AlternateContent>
    <mc:AlternateContent xmlns:mc="http://schemas.openxmlformats.org/markup-compatibility/2006">
      <mc:Choice Requires="x14">
        <oleObject progId="Equation.DSMT4" shapeId="3079" r:id="rId15">
          <objectPr defaultSize="0" autoPict="0" r:id="rId16">
            <anchor moveWithCells="1" sizeWithCells="1">
              <from>
                <xdr:col>2</xdr:col>
                <xdr:colOff>137160</xdr:colOff>
                <xdr:row>52</xdr:row>
                <xdr:rowOff>7620</xdr:rowOff>
              </from>
              <to>
                <xdr:col>3</xdr:col>
                <xdr:colOff>182880</xdr:colOff>
                <xdr:row>53</xdr:row>
                <xdr:rowOff>76200</xdr:rowOff>
              </to>
            </anchor>
          </objectPr>
        </oleObject>
      </mc:Choice>
      <mc:Fallback>
        <oleObject progId="Equation.DSMT4" shapeId="3079" r:id="rId15"/>
      </mc:Fallback>
    </mc:AlternateContent>
    <mc:AlternateContent xmlns:mc="http://schemas.openxmlformats.org/markup-compatibility/2006">
      <mc:Choice Requires="x14">
        <oleObject progId="Equation.DSMT4" shapeId="3080" r:id="rId17">
          <objectPr defaultSize="0" autoPict="0" r:id="rId18">
            <anchor moveWithCells="1" sizeWithCells="1">
              <from>
                <xdr:col>2</xdr:col>
                <xdr:colOff>137160</xdr:colOff>
                <xdr:row>51</xdr:row>
                <xdr:rowOff>7620</xdr:rowOff>
              </from>
              <to>
                <xdr:col>4</xdr:col>
                <xdr:colOff>419100</xdr:colOff>
                <xdr:row>52</xdr:row>
                <xdr:rowOff>30480</xdr:rowOff>
              </to>
            </anchor>
          </objectPr>
        </oleObject>
      </mc:Choice>
      <mc:Fallback>
        <oleObject progId="Equation.DSMT4" shapeId="3080" r:id="rId17"/>
      </mc:Fallback>
    </mc:AlternateContent>
    <mc:AlternateContent xmlns:mc="http://schemas.openxmlformats.org/markup-compatibility/2006">
      <mc:Choice Requires="x14">
        <oleObject progId="Equation.DSMT4" shapeId="3081" r:id="rId19">
          <objectPr defaultSize="0" r:id="rId20">
            <anchor moveWithCells="1" sizeWithCells="1">
              <from>
                <xdr:col>5</xdr:col>
                <xdr:colOff>30480</xdr:colOff>
                <xdr:row>55</xdr:row>
                <xdr:rowOff>7620</xdr:rowOff>
              </from>
              <to>
                <xdr:col>6</xdr:col>
                <xdr:colOff>38100</xdr:colOff>
                <xdr:row>56</xdr:row>
                <xdr:rowOff>45720</xdr:rowOff>
              </to>
            </anchor>
          </objectPr>
        </oleObject>
      </mc:Choice>
      <mc:Fallback>
        <oleObject progId="Equation.DSMT4" shapeId="3081" r:id="rId19"/>
      </mc:Fallback>
    </mc:AlternateContent>
    <mc:AlternateContent xmlns:mc="http://schemas.openxmlformats.org/markup-compatibility/2006">
      <mc:Choice Requires="x14">
        <oleObject progId="Equation.DSMT4" shapeId="3082" r:id="rId21">
          <objectPr defaultSize="0" r:id="rId22">
            <anchor moveWithCells="1" sizeWithCells="1">
              <from>
                <xdr:col>2</xdr:col>
                <xdr:colOff>99060</xdr:colOff>
                <xdr:row>55</xdr:row>
                <xdr:rowOff>7620</xdr:rowOff>
              </from>
              <to>
                <xdr:col>2</xdr:col>
                <xdr:colOff>525780</xdr:colOff>
                <xdr:row>56</xdr:row>
                <xdr:rowOff>38100</xdr:rowOff>
              </to>
            </anchor>
          </objectPr>
        </oleObject>
      </mc:Choice>
      <mc:Fallback>
        <oleObject progId="Equation.DSMT4" shapeId="3082" r:id="rId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I72"/>
  <sheetViews>
    <sheetView tabSelected="1" topLeftCell="B14" zoomScaleNormal="70" workbookViewId="0">
      <selection activeCell="B72" sqref="B72"/>
    </sheetView>
  </sheetViews>
  <sheetFormatPr defaultRowHeight="14.4"/>
  <cols>
    <col min="3" max="3" width="11.6640625" customWidth="1"/>
    <col min="4" max="4" width="11.109375" customWidth="1"/>
    <col min="7" max="7" width="16.6640625" customWidth="1"/>
    <col min="259" max="259" width="11.6640625" customWidth="1"/>
    <col min="260" max="260" width="11.109375" customWidth="1"/>
    <col min="263" max="263" width="16.6640625" customWidth="1"/>
    <col min="515" max="515" width="11.6640625" customWidth="1"/>
    <col min="516" max="516" width="11.109375" customWidth="1"/>
    <col min="519" max="519" width="16.6640625" customWidth="1"/>
    <col min="771" max="771" width="11.6640625" customWidth="1"/>
    <col min="772" max="772" width="11.109375" customWidth="1"/>
    <col min="775" max="775" width="16.6640625" customWidth="1"/>
    <col min="1027" max="1027" width="11.6640625" customWidth="1"/>
    <col min="1028" max="1028" width="11.109375" customWidth="1"/>
    <col min="1031" max="1031" width="16.6640625" customWidth="1"/>
    <col min="1283" max="1283" width="11.6640625" customWidth="1"/>
    <col min="1284" max="1284" width="11.109375" customWidth="1"/>
    <col min="1287" max="1287" width="16.6640625" customWidth="1"/>
    <col min="1539" max="1539" width="11.6640625" customWidth="1"/>
    <col min="1540" max="1540" width="11.109375" customWidth="1"/>
    <col min="1543" max="1543" width="16.6640625" customWidth="1"/>
    <col min="1795" max="1795" width="11.6640625" customWidth="1"/>
    <col min="1796" max="1796" width="11.109375" customWidth="1"/>
    <col min="1799" max="1799" width="16.6640625" customWidth="1"/>
    <col min="2051" max="2051" width="11.6640625" customWidth="1"/>
    <col min="2052" max="2052" width="11.109375" customWidth="1"/>
    <col min="2055" max="2055" width="16.6640625" customWidth="1"/>
    <col min="2307" max="2307" width="11.6640625" customWidth="1"/>
    <col min="2308" max="2308" width="11.109375" customWidth="1"/>
    <col min="2311" max="2311" width="16.6640625" customWidth="1"/>
    <col min="2563" max="2563" width="11.6640625" customWidth="1"/>
    <col min="2564" max="2564" width="11.109375" customWidth="1"/>
    <col min="2567" max="2567" width="16.6640625" customWidth="1"/>
    <col min="2819" max="2819" width="11.6640625" customWidth="1"/>
    <col min="2820" max="2820" width="11.109375" customWidth="1"/>
    <col min="2823" max="2823" width="16.6640625" customWidth="1"/>
    <col min="3075" max="3075" width="11.6640625" customWidth="1"/>
    <col min="3076" max="3076" width="11.109375" customWidth="1"/>
    <col min="3079" max="3079" width="16.6640625" customWidth="1"/>
    <col min="3331" max="3331" width="11.6640625" customWidth="1"/>
    <col min="3332" max="3332" width="11.109375" customWidth="1"/>
    <col min="3335" max="3335" width="16.6640625" customWidth="1"/>
    <col min="3587" max="3587" width="11.6640625" customWidth="1"/>
    <col min="3588" max="3588" width="11.109375" customWidth="1"/>
    <col min="3591" max="3591" width="16.6640625" customWidth="1"/>
    <col min="3843" max="3843" width="11.6640625" customWidth="1"/>
    <col min="3844" max="3844" width="11.109375" customWidth="1"/>
    <col min="3847" max="3847" width="16.6640625" customWidth="1"/>
    <col min="4099" max="4099" width="11.6640625" customWidth="1"/>
    <col min="4100" max="4100" width="11.109375" customWidth="1"/>
    <col min="4103" max="4103" width="16.6640625" customWidth="1"/>
    <col min="4355" max="4355" width="11.6640625" customWidth="1"/>
    <col min="4356" max="4356" width="11.109375" customWidth="1"/>
    <col min="4359" max="4359" width="16.6640625" customWidth="1"/>
    <col min="4611" max="4611" width="11.6640625" customWidth="1"/>
    <col min="4612" max="4612" width="11.109375" customWidth="1"/>
    <col min="4615" max="4615" width="16.6640625" customWidth="1"/>
    <col min="4867" max="4867" width="11.6640625" customWidth="1"/>
    <col min="4868" max="4868" width="11.109375" customWidth="1"/>
    <col min="4871" max="4871" width="16.6640625" customWidth="1"/>
    <col min="5123" max="5123" width="11.6640625" customWidth="1"/>
    <col min="5124" max="5124" width="11.109375" customWidth="1"/>
    <col min="5127" max="5127" width="16.6640625" customWidth="1"/>
    <col min="5379" max="5379" width="11.6640625" customWidth="1"/>
    <col min="5380" max="5380" width="11.109375" customWidth="1"/>
    <col min="5383" max="5383" width="16.6640625" customWidth="1"/>
    <col min="5635" max="5635" width="11.6640625" customWidth="1"/>
    <col min="5636" max="5636" width="11.109375" customWidth="1"/>
    <col min="5639" max="5639" width="16.6640625" customWidth="1"/>
    <col min="5891" max="5891" width="11.6640625" customWidth="1"/>
    <col min="5892" max="5892" width="11.109375" customWidth="1"/>
    <col min="5895" max="5895" width="16.6640625" customWidth="1"/>
    <col min="6147" max="6147" width="11.6640625" customWidth="1"/>
    <col min="6148" max="6148" width="11.109375" customWidth="1"/>
    <col min="6151" max="6151" width="16.6640625" customWidth="1"/>
    <col min="6403" max="6403" width="11.6640625" customWidth="1"/>
    <col min="6404" max="6404" width="11.109375" customWidth="1"/>
    <col min="6407" max="6407" width="16.6640625" customWidth="1"/>
    <col min="6659" max="6659" width="11.6640625" customWidth="1"/>
    <col min="6660" max="6660" width="11.109375" customWidth="1"/>
    <col min="6663" max="6663" width="16.6640625" customWidth="1"/>
    <col min="6915" max="6915" width="11.6640625" customWidth="1"/>
    <col min="6916" max="6916" width="11.109375" customWidth="1"/>
    <col min="6919" max="6919" width="16.6640625" customWidth="1"/>
    <col min="7171" max="7171" width="11.6640625" customWidth="1"/>
    <col min="7172" max="7172" width="11.109375" customWidth="1"/>
    <col min="7175" max="7175" width="16.6640625" customWidth="1"/>
    <col min="7427" max="7427" width="11.6640625" customWidth="1"/>
    <col min="7428" max="7428" width="11.109375" customWidth="1"/>
    <col min="7431" max="7431" width="16.6640625" customWidth="1"/>
    <col min="7683" max="7683" width="11.6640625" customWidth="1"/>
    <col min="7684" max="7684" width="11.109375" customWidth="1"/>
    <col min="7687" max="7687" width="16.6640625" customWidth="1"/>
    <col min="7939" max="7939" width="11.6640625" customWidth="1"/>
    <col min="7940" max="7940" width="11.109375" customWidth="1"/>
    <col min="7943" max="7943" width="16.6640625" customWidth="1"/>
    <col min="8195" max="8195" width="11.6640625" customWidth="1"/>
    <col min="8196" max="8196" width="11.109375" customWidth="1"/>
    <col min="8199" max="8199" width="16.6640625" customWidth="1"/>
    <col min="8451" max="8451" width="11.6640625" customWidth="1"/>
    <col min="8452" max="8452" width="11.109375" customWidth="1"/>
    <col min="8455" max="8455" width="16.6640625" customWidth="1"/>
    <col min="8707" max="8707" width="11.6640625" customWidth="1"/>
    <col min="8708" max="8708" width="11.109375" customWidth="1"/>
    <col min="8711" max="8711" width="16.6640625" customWidth="1"/>
    <col min="8963" max="8963" width="11.6640625" customWidth="1"/>
    <col min="8964" max="8964" width="11.109375" customWidth="1"/>
    <col min="8967" max="8967" width="16.6640625" customWidth="1"/>
    <col min="9219" max="9219" width="11.6640625" customWidth="1"/>
    <col min="9220" max="9220" width="11.109375" customWidth="1"/>
    <col min="9223" max="9223" width="16.6640625" customWidth="1"/>
    <col min="9475" max="9475" width="11.6640625" customWidth="1"/>
    <col min="9476" max="9476" width="11.109375" customWidth="1"/>
    <col min="9479" max="9479" width="16.6640625" customWidth="1"/>
    <col min="9731" max="9731" width="11.6640625" customWidth="1"/>
    <col min="9732" max="9732" width="11.109375" customWidth="1"/>
    <col min="9735" max="9735" width="16.6640625" customWidth="1"/>
    <col min="9987" max="9987" width="11.6640625" customWidth="1"/>
    <col min="9988" max="9988" width="11.109375" customWidth="1"/>
    <col min="9991" max="9991" width="16.6640625" customWidth="1"/>
    <col min="10243" max="10243" width="11.6640625" customWidth="1"/>
    <col min="10244" max="10244" width="11.109375" customWidth="1"/>
    <col min="10247" max="10247" width="16.6640625" customWidth="1"/>
    <col min="10499" max="10499" width="11.6640625" customWidth="1"/>
    <col min="10500" max="10500" width="11.109375" customWidth="1"/>
    <col min="10503" max="10503" width="16.6640625" customWidth="1"/>
    <col min="10755" max="10755" width="11.6640625" customWidth="1"/>
    <col min="10756" max="10756" width="11.109375" customWidth="1"/>
    <col min="10759" max="10759" width="16.6640625" customWidth="1"/>
    <col min="11011" max="11011" width="11.6640625" customWidth="1"/>
    <col min="11012" max="11012" width="11.109375" customWidth="1"/>
    <col min="11015" max="11015" width="16.6640625" customWidth="1"/>
    <col min="11267" max="11267" width="11.6640625" customWidth="1"/>
    <col min="11268" max="11268" width="11.109375" customWidth="1"/>
    <col min="11271" max="11271" width="16.6640625" customWidth="1"/>
    <col min="11523" max="11523" width="11.6640625" customWidth="1"/>
    <col min="11524" max="11524" width="11.109375" customWidth="1"/>
    <col min="11527" max="11527" width="16.6640625" customWidth="1"/>
    <col min="11779" max="11779" width="11.6640625" customWidth="1"/>
    <col min="11780" max="11780" width="11.109375" customWidth="1"/>
    <col min="11783" max="11783" width="16.6640625" customWidth="1"/>
    <col min="12035" max="12035" width="11.6640625" customWidth="1"/>
    <col min="12036" max="12036" width="11.109375" customWidth="1"/>
    <col min="12039" max="12039" width="16.6640625" customWidth="1"/>
    <col min="12291" max="12291" width="11.6640625" customWidth="1"/>
    <col min="12292" max="12292" width="11.109375" customWidth="1"/>
    <col min="12295" max="12295" width="16.6640625" customWidth="1"/>
    <col min="12547" max="12547" width="11.6640625" customWidth="1"/>
    <col min="12548" max="12548" width="11.109375" customWidth="1"/>
    <col min="12551" max="12551" width="16.6640625" customWidth="1"/>
    <col min="12803" max="12803" width="11.6640625" customWidth="1"/>
    <col min="12804" max="12804" width="11.109375" customWidth="1"/>
    <col min="12807" max="12807" width="16.6640625" customWidth="1"/>
    <col min="13059" max="13059" width="11.6640625" customWidth="1"/>
    <col min="13060" max="13060" width="11.109375" customWidth="1"/>
    <col min="13063" max="13063" width="16.6640625" customWidth="1"/>
    <col min="13315" max="13315" width="11.6640625" customWidth="1"/>
    <col min="13316" max="13316" width="11.109375" customWidth="1"/>
    <col min="13319" max="13319" width="16.6640625" customWidth="1"/>
    <col min="13571" max="13571" width="11.6640625" customWidth="1"/>
    <col min="13572" max="13572" width="11.109375" customWidth="1"/>
    <col min="13575" max="13575" width="16.6640625" customWidth="1"/>
    <col min="13827" max="13827" width="11.6640625" customWidth="1"/>
    <col min="13828" max="13828" width="11.109375" customWidth="1"/>
    <col min="13831" max="13831" width="16.6640625" customWidth="1"/>
    <col min="14083" max="14083" width="11.6640625" customWidth="1"/>
    <col min="14084" max="14084" width="11.109375" customWidth="1"/>
    <col min="14087" max="14087" width="16.6640625" customWidth="1"/>
    <col min="14339" max="14339" width="11.6640625" customWidth="1"/>
    <col min="14340" max="14340" width="11.109375" customWidth="1"/>
    <col min="14343" max="14343" width="16.6640625" customWidth="1"/>
    <col min="14595" max="14595" width="11.6640625" customWidth="1"/>
    <col min="14596" max="14596" width="11.109375" customWidth="1"/>
    <col min="14599" max="14599" width="16.6640625" customWidth="1"/>
    <col min="14851" max="14851" width="11.6640625" customWidth="1"/>
    <col min="14852" max="14852" width="11.109375" customWidth="1"/>
    <col min="14855" max="14855" width="16.6640625" customWidth="1"/>
    <col min="15107" max="15107" width="11.6640625" customWidth="1"/>
    <col min="15108" max="15108" width="11.109375" customWidth="1"/>
    <col min="15111" max="15111" width="16.6640625" customWidth="1"/>
    <col min="15363" max="15363" width="11.6640625" customWidth="1"/>
    <col min="15364" max="15364" width="11.109375" customWidth="1"/>
    <col min="15367" max="15367" width="16.6640625" customWidth="1"/>
    <col min="15619" max="15619" width="11.6640625" customWidth="1"/>
    <col min="15620" max="15620" width="11.109375" customWidth="1"/>
    <col min="15623" max="15623" width="16.6640625" customWidth="1"/>
    <col min="15875" max="15875" width="11.6640625" customWidth="1"/>
    <col min="15876" max="15876" width="11.109375" customWidth="1"/>
    <col min="15879" max="15879" width="16.6640625" customWidth="1"/>
    <col min="16131" max="16131" width="11.6640625" customWidth="1"/>
    <col min="16132" max="16132" width="11.109375" customWidth="1"/>
    <col min="16135" max="16135" width="16.6640625" customWidth="1"/>
  </cols>
  <sheetData>
    <row r="1" spans="1:9" ht="165" customHeight="1"/>
    <row r="3" spans="1:9" ht="15" customHeight="1">
      <c r="A3" s="76" t="s">
        <v>49</v>
      </c>
      <c r="B3" s="76"/>
      <c r="C3" s="77" t="s">
        <v>1</v>
      </c>
      <c r="D3" s="77" t="s">
        <v>2</v>
      </c>
      <c r="E3" s="79" t="s">
        <v>3</v>
      </c>
      <c r="G3" s="81" t="s">
        <v>17</v>
      </c>
      <c r="H3" s="81"/>
      <c r="I3" s="31" t="s">
        <v>50</v>
      </c>
    </row>
    <row r="4" spans="1:9">
      <c r="A4" s="32" t="s">
        <v>12</v>
      </c>
      <c r="B4" s="33" t="s">
        <v>13</v>
      </c>
      <c r="C4" s="78"/>
      <c r="D4" s="78"/>
      <c r="E4" s="80"/>
    </row>
    <row r="5" spans="1:9">
      <c r="A5" s="5">
        <v>0</v>
      </c>
      <c r="B5" s="5">
        <v>10</v>
      </c>
      <c r="C5" s="5">
        <v>365</v>
      </c>
      <c r="D5" s="5">
        <f t="shared" ref="D5:D11" si="0">(A5+B5)/2</f>
        <v>5</v>
      </c>
      <c r="E5" s="5">
        <f>D5*C5</f>
        <v>1825</v>
      </c>
    </row>
    <row r="6" spans="1:9">
      <c r="A6" s="5">
        <f t="shared" ref="A6:B11" si="1">A5+10</f>
        <v>10</v>
      </c>
      <c r="B6" s="5">
        <f t="shared" si="1"/>
        <v>20</v>
      </c>
      <c r="C6" s="5">
        <v>245</v>
      </c>
      <c r="D6" s="5">
        <f t="shared" si="0"/>
        <v>15</v>
      </c>
      <c r="E6" s="5">
        <f t="shared" ref="E6:E11" si="2">D6*C6</f>
        <v>3675</v>
      </c>
    </row>
    <row r="7" spans="1:9">
      <c r="A7" s="5">
        <f t="shared" si="1"/>
        <v>20</v>
      </c>
      <c r="B7" s="5">
        <f t="shared" si="1"/>
        <v>30</v>
      </c>
      <c r="C7" s="5">
        <v>150</v>
      </c>
      <c r="D7" s="5">
        <f t="shared" si="0"/>
        <v>25</v>
      </c>
      <c r="E7" s="5">
        <f t="shared" si="2"/>
        <v>3750</v>
      </c>
    </row>
    <row r="8" spans="1:9">
      <c r="A8" s="5">
        <f t="shared" si="1"/>
        <v>30</v>
      </c>
      <c r="B8" s="5">
        <f t="shared" si="1"/>
        <v>40</v>
      </c>
      <c r="C8" s="5">
        <v>100</v>
      </c>
      <c r="D8" s="5">
        <f t="shared" si="0"/>
        <v>35</v>
      </c>
      <c r="E8" s="5">
        <f t="shared" si="2"/>
        <v>3500</v>
      </c>
    </row>
    <row r="9" spans="1:9">
      <c r="A9" s="5">
        <f t="shared" si="1"/>
        <v>40</v>
      </c>
      <c r="B9" s="5">
        <f t="shared" si="1"/>
        <v>50</v>
      </c>
      <c r="C9" s="5">
        <v>70</v>
      </c>
      <c r="D9" s="5">
        <f t="shared" si="0"/>
        <v>45</v>
      </c>
      <c r="E9" s="5">
        <f t="shared" si="2"/>
        <v>3150</v>
      </c>
    </row>
    <row r="10" spans="1:9">
      <c r="A10" s="5">
        <f t="shared" si="1"/>
        <v>50</v>
      </c>
      <c r="B10" s="5">
        <f t="shared" si="1"/>
        <v>60</v>
      </c>
      <c r="C10" s="5">
        <v>45</v>
      </c>
      <c r="D10" s="5">
        <f t="shared" si="0"/>
        <v>55</v>
      </c>
      <c r="E10" s="5">
        <f t="shared" si="2"/>
        <v>2475</v>
      </c>
    </row>
    <row r="11" spans="1:9">
      <c r="A11" s="5">
        <f t="shared" si="1"/>
        <v>60</v>
      </c>
      <c r="B11" s="5">
        <f t="shared" si="1"/>
        <v>70</v>
      </c>
      <c r="C11" s="5">
        <v>25</v>
      </c>
      <c r="D11" s="5">
        <f t="shared" si="0"/>
        <v>65</v>
      </c>
      <c r="E11" s="5">
        <f t="shared" si="2"/>
        <v>1625</v>
      </c>
    </row>
    <row r="13" spans="1:9">
      <c r="A13" s="15" t="s">
        <v>16</v>
      </c>
      <c r="B13" s="11">
        <f>SUM(C5:C11)</f>
        <v>1000</v>
      </c>
    </row>
    <row r="14" spans="1:9">
      <c r="A14" s="15" t="s">
        <v>20</v>
      </c>
      <c r="B14" s="11">
        <f>SUM(E5:E11)/B13</f>
        <v>20</v>
      </c>
    </row>
    <row r="15" spans="1:9">
      <c r="A15" s="34" t="s">
        <v>51</v>
      </c>
      <c r="B15" s="11">
        <f>1/B14</f>
        <v>0.05</v>
      </c>
      <c r="C15" s="35" t="s">
        <v>52</v>
      </c>
    </row>
    <row r="17" spans="1:8" ht="23.4">
      <c r="A17" s="36" t="s">
        <v>53</v>
      </c>
    </row>
    <row r="19" spans="1:8">
      <c r="A19" s="71" t="s">
        <v>27</v>
      </c>
      <c r="B19" s="73" t="s">
        <v>28</v>
      </c>
      <c r="C19" s="73"/>
      <c r="D19" s="69" t="s">
        <v>29</v>
      </c>
      <c r="E19" s="69" t="s">
        <v>54</v>
      </c>
      <c r="F19" s="69" t="s">
        <v>33</v>
      </c>
    </row>
    <row r="20" spans="1:8" ht="16.2" thickBot="1">
      <c r="A20" s="72"/>
      <c r="B20" s="22" t="s">
        <v>35</v>
      </c>
      <c r="C20" s="22" t="s">
        <v>36</v>
      </c>
      <c r="D20" s="70"/>
      <c r="E20" s="70"/>
      <c r="F20" s="70"/>
    </row>
    <row r="21" spans="1:8" ht="15" thickTop="1">
      <c r="A21" s="23">
        <v>1</v>
      </c>
      <c r="B21" s="24">
        <f t="shared" ref="B21:D27" si="3">A5</f>
        <v>0</v>
      </c>
      <c r="C21" s="24">
        <f t="shared" si="3"/>
        <v>10</v>
      </c>
      <c r="D21" s="23">
        <f t="shared" si="3"/>
        <v>365</v>
      </c>
      <c r="E21" s="25">
        <f>EXP(-$B$15*B21)-EXP(-$B$15*C21)</f>
        <v>0.39346934028736658</v>
      </c>
      <c r="F21" s="25">
        <f>E21*$B$13</f>
        <v>393.46934028736655</v>
      </c>
    </row>
    <row r="22" spans="1:8">
      <c r="A22" s="5">
        <v>2</v>
      </c>
      <c r="B22" s="24">
        <f t="shared" si="3"/>
        <v>10</v>
      </c>
      <c r="C22" s="24">
        <f t="shared" si="3"/>
        <v>20</v>
      </c>
      <c r="D22" s="5">
        <f t="shared" si="3"/>
        <v>245</v>
      </c>
      <c r="E22" s="25">
        <f t="shared" ref="E22:E27" si="4">EXP(-$B$15*B22)-EXP(-$B$15*C22)</f>
        <v>0.23865121854119109</v>
      </c>
      <c r="F22" s="6">
        <f t="shared" ref="F22:F27" si="5">E22*$B$13</f>
        <v>238.6512185411911</v>
      </c>
    </row>
    <row r="23" spans="1:8">
      <c r="A23" s="23">
        <v>3</v>
      </c>
      <c r="B23" s="24">
        <f t="shared" si="3"/>
        <v>20</v>
      </c>
      <c r="C23" s="24">
        <f t="shared" si="3"/>
        <v>30</v>
      </c>
      <c r="D23" s="5">
        <f t="shared" si="3"/>
        <v>150</v>
      </c>
      <c r="E23" s="25">
        <f t="shared" si="4"/>
        <v>0.14474928102301252</v>
      </c>
      <c r="F23" s="6">
        <f t="shared" si="5"/>
        <v>144.74928102301251</v>
      </c>
    </row>
    <row r="24" spans="1:8">
      <c r="A24" s="5">
        <v>4</v>
      </c>
      <c r="B24" s="24">
        <f t="shared" si="3"/>
        <v>30</v>
      </c>
      <c r="C24" s="24">
        <f t="shared" si="3"/>
        <v>40</v>
      </c>
      <c r="D24" s="5">
        <f t="shared" si="3"/>
        <v>100</v>
      </c>
      <c r="E24" s="25">
        <f t="shared" si="4"/>
        <v>8.7794876911817116E-2</v>
      </c>
      <c r="F24" s="6">
        <f t="shared" si="5"/>
        <v>87.794876911817113</v>
      </c>
    </row>
    <row r="25" spans="1:8">
      <c r="A25" s="23">
        <v>5</v>
      </c>
      <c r="B25" s="24">
        <f t="shared" si="3"/>
        <v>40</v>
      </c>
      <c r="C25" s="24">
        <f t="shared" si="3"/>
        <v>50</v>
      </c>
      <c r="D25" s="5">
        <f t="shared" si="3"/>
        <v>70</v>
      </c>
      <c r="E25" s="25">
        <f t="shared" si="4"/>
        <v>5.3250284612713902E-2</v>
      </c>
      <c r="F25" s="6">
        <f t="shared" si="5"/>
        <v>53.250284612713905</v>
      </c>
    </row>
    <row r="26" spans="1:8">
      <c r="A26" s="5">
        <v>6</v>
      </c>
      <c r="B26" s="24">
        <f t="shared" si="3"/>
        <v>50</v>
      </c>
      <c r="C26" s="24">
        <f t="shared" si="3"/>
        <v>60</v>
      </c>
      <c r="D26" s="5">
        <f t="shared" si="3"/>
        <v>45</v>
      </c>
      <c r="E26" s="25">
        <f t="shared" si="4"/>
        <v>3.2297930256034856E-2</v>
      </c>
      <c r="F26" s="6">
        <f t="shared" si="5"/>
        <v>32.297930256034853</v>
      </c>
    </row>
    <row r="27" spans="1:8">
      <c r="A27" s="23">
        <v>7</v>
      </c>
      <c r="B27" s="24">
        <f t="shared" si="3"/>
        <v>60</v>
      </c>
      <c r="C27" s="24">
        <f t="shared" si="3"/>
        <v>70</v>
      </c>
      <c r="D27" s="5">
        <f t="shared" si="3"/>
        <v>25</v>
      </c>
      <c r="E27" s="25">
        <f t="shared" si="4"/>
        <v>1.9589684945545444E-2</v>
      </c>
      <c r="F27" s="6">
        <f t="shared" si="5"/>
        <v>19.589684945545443</v>
      </c>
    </row>
    <row r="28" spans="1:8">
      <c r="E28" s="37">
        <f>SUM(E21:E27)</f>
        <v>0.96980261657768152</v>
      </c>
      <c r="F28">
        <f>SUM(F21:F27)</f>
        <v>969.80261657768153</v>
      </c>
      <c r="H28">
        <f>B13-F28</f>
        <v>30.197383422318467</v>
      </c>
    </row>
    <row r="30" spans="1:8" ht="19.5" customHeight="1">
      <c r="A30" s="71" t="s">
        <v>27</v>
      </c>
      <c r="B30" s="73" t="s">
        <v>28</v>
      </c>
      <c r="C30" s="73"/>
      <c r="D30" s="69" t="s">
        <v>29</v>
      </c>
      <c r="E30" s="69" t="s">
        <v>55</v>
      </c>
      <c r="F30" s="74" t="s">
        <v>56</v>
      </c>
    </row>
    <row r="31" spans="1:8" ht="16.2" thickBot="1">
      <c r="A31" s="72"/>
      <c r="B31" s="22" t="s">
        <v>35</v>
      </c>
      <c r="C31" s="22" t="s">
        <v>36</v>
      </c>
      <c r="D31" s="70"/>
      <c r="E31" s="70"/>
      <c r="F31" s="75"/>
    </row>
    <row r="32" spans="1:8" ht="15" thickTop="1">
      <c r="A32" s="23">
        <v>1</v>
      </c>
      <c r="B32" s="24">
        <f t="shared" ref="B32:D37" si="6">B21</f>
        <v>0</v>
      </c>
      <c r="C32" s="24">
        <f t="shared" si="6"/>
        <v>10</v>
      </c>
      <c r="D32" s="23">
        <f t="shared" si="6"/>
        <v>365</v>
      </c>
      <c r="E32" s="25">
        <f t="shared" ref="E32:E37" si="7">F21</f>
        <v>393.46934028736655</v>
      </c>
      <c r="F32" s="38">
        <f>(D32-E32)^2/E32</f>
        <v>2.0598894333315241</v>
      </c>
    </row>
    <row r="33" spans="1:6">
      <c r="A33" s="5">
        <v>2</v>
      </c>
      <c r="B33" s="24">
        <f t="shared" si="6"/>
        <v>10</v>
      </c>
      <c r="C33" s="24">
        <f t="shared" si="6"/>
        <v>20</v>
      </c>
      <c r="D33" s="23">
        <f t="shared" si="6"/>
        <v>245</v>
      </c>
      <c r="E33" s="26">
        <f t="shared" si="7"/>
        <v>238.6512185411911</v>
      </c>
      <c r="F33" s="38">
        <f t="shared" ref="F33:F38" si="8">(D33-E33)^2/E33</f>
        <v>0.16889511923761119</v>
      </c>
    </row>
    <row r="34" spans="1:6">
      <c r="A34" s="23">
        <v>3</v>
      </c>
      <c r="B34" s="24">
        <f t="shared" si="6"/>
        <v>20</v>
      </c>
      <c r="C34" s="24">
        <f t="shared" si="6"/>
        <v>30</v>
      </c>
      <c r="D34" s="23">
        <f t="shared" si="6"/>
        <v>150</v>
      </c>
      <c r="E34" s="26">
        <f t="shared" si="7"/>
        <v>144.74928102301251</v>
      </c>
      <c r="F34" s="38">
        <f t="shared" si="8"/>
        <v>0.19046761117185354</v>
      </c>
    </row>
    <row r="35" spans="1:6">
      <c r="A35" s="5">
        <v>4</v>
      </c>
      <c r="B35" s="24">
        <f t="shared" si="6"/>
        <v>30</v>
      </c>
      <c r="C35" s="24">
        <f t="shared" si="6"/>
        <v>40</v>
      </c>
      <c r="D35" s="23">
        <f t="shared" si="6"/>
        <v>100</v>
      </c>
      <c r="E35" s="26">
        <f t="shared" si="7"/>
        <v>87.794876911817113</v>
      </c>
      <c r="F35" s="38">
        <f t="shared" si="8"/>
        <v>1.6967394321575091</v>
      </c>
    </row>
    <row r="36" spans="1:6">
      <c r="A36" s="23">
        <v>5</v>
      </c>
      <c r="B36" s="24">
        <f t="shared" si="6"/>
        <v>40</v>
      </c>
      <c r="C36" s="24">
        <f t="shared" si="6"/>
        <v>50</v>
      </c>
      <c r="D36" s="23">
        <f t="shared" si="6"/>
        <v>70</v>
      </c>
      <c r="E36" s="26">
        <f t="shared" si="7"/>
        <v>53.250284612713905</v>
      </c>
      <c r="F36" s="38">
        <f t="shared" si="8"/>
        <v>5.2685721324408554</v>
      </c>
    </row>
    <row r="37" spans="1:6">
      <c r="A37" s="5">
        <v>6</v>
      </c>
      <c r="B37" s="24">
        <f t="shared" si="6"/>
        <v>50</v>
      </c>
      <c r="C37" s="24">
        <f t="shared" si="6"/>
        <v>60</v>
      </c>
      <c r="D37" s="23">
        <f t="shared" si="6"/>
        <v>45</v>
      </c>
      <c r="E37" s="26">
        <f t="shared" si="7"/>
        <v>32.297930256034853</v>
      </c>
      <c r="F37" s="38">
        <f t="shared" si="8"/>
        <v>4.995446287162876</v>
      </c>
    </row>
    <row r="38" spans="1:6">
      <c r="A38" s="23">
        <v>7</v>
      </c>
      <c r="B38" s="24">
        <f>B27</f>
        <v>60</v>
      </c>
      <c r="C38" s="39" t="s">
        <v>57</v>
      </c>
      <c r="D38" s="23">
        <f>D27</f>
        <v>25</v>
      </c>
      <c r="E38" s="26">
        <f>F27+H28</f>
        <v>49.78706836786391</v>
      </c>
      <c r="F38" s="38">
        <f t="shared" si="8"/>
        <v>12.34052894485621</v>
      </c>
    </row>
    <row r="39" spans="1:6">
      <c r="E39" s="27">
        <f>SUM(E32:E38)</f>
        <v>1000</v>
      </c>
    </row>
    <row r="43" spans="1:6" ht="16.8">
      <c r="A43" s="13" t="s">
        <v>39</v>
      </c>
      <c r="B43" s="40">
        <f>SUM(F32:F38)</f>
        <v>26.720538960358439</v>
      </c>
      <c r="C43" t="s">
        <v>40</v>
      </c>
    </row>
    <row r="44" spans="1:6">
      <c r="A44" s="13"/>
    </row>
    <row r="45" spans="1:6">
      <c r="A45" s="13" t="s">
        <v>41</v>
      </c>
      <c r="B45" s="29">
        <v>7</v>
      </c>
      <c r="C45" t="s">
        <v>42</v>
      </c>
    </row>
    <row r="46" spans="1:6">
      <c r="A46" s="13" t="s">
        <v>43</v>
      </c>
      <c r="B46" s="29">
        <v>1</v>
      </c>
      <c r="C46" t="s">
        <v>44</v>
      </c>
    </row>
    <row r="47" spans="1:6">
      <c r="A47" s="20" t="s">
        <v>23</v>
      </c>
      <c r="B47" s="29">
        <v>0.05</v>
      </c>
      <c r="C47" t="s">
        <v>24</v>
      </c>
    </row>
    <row r="48" spans="1:6">
      <c r="A48" s="20" t="s">
        <v>45</v>
      </c>
      <c r="B48" s="29">
        <f>B45-1-B46</f>
        <v>5</v>
      </c>
      <c r="C48" s="29" t="s">
        <v>46</v>
      </c>
    </row>
    <row r="49" spans="1:9" ht="16.8">
      <c r="A49" s="13" t="s">
        <v>47</v>
      </c>
      <c r="B49" s="30">
        <f>CHIINV(B47,B48)</f>
        <v>11.070497693516353</v>
      </c>
    </row>
    <row r="51" spans="1:9" ht="16.8">
      <c r="B51" s="20" t="s">
        <v>58</v>
      </c>
    </row>
    <row r="53" spans="1:9" ht="23.4">
      <c r="A53" s="36" t="s">
        <v>59</v>
      </c>
      <c r="F53" s="31" t="s">
        <v>50</v>
      </c>
    </row>
    <row r="55" spans="1:9">
      <c r="A55" s="71" t="s">
        <v>27</v>
      </c>
      <c r="B55" s="73" t="s">
        <v>28</v>
      </c>
      <c r="C55" s="73"/>
      <c r="D55" s="69" t="s">
        <v>29</v>
      </c>
      <c r="E55" s="67" t="s">
        <v>5</v>
      </c>
      <c r="F55" s="67" t="s">
        <v>7</v>
      </c>
      <c r="G55" s="67" t="s">
        <v>8</v>
      </c>
      <c r="H55" s="69" t="s">
        <v>10</v>
      </c>
      <c r="I55" s="67" t="s">
        <v>11</v>
      </c>
    </row>
    <row r="56" spans="1:9" ht="16.2" thickBot="1">
      <c r="A56" s="72"/>
      <c r="B56" s="22" t="s">
        <v>35</v>
      </c>
      <c r="C56" s="22" t="s">
        <v>36</v>
      </c>
      <c r="D56" s="70"/>
      <c r="E56" s="68"/>
      <c r="F56" s="68"/>
      <c r="G56" s="68"/>
      <c r="H56" s="70"/>
      <c r="I56" s="68"/>
    </row>
    <row r="57" spans="1:9" ht="15" thickTop="1">
      <c r="A57" s="23">
        <v>1</v>
      </c>
      <c r="B57" s="24">
        <f t="shared" ref="B57:D63" si="9">B21</f>
        <v>0</v>
      </c>
      <c r="C57" s="24">
        <f t="shared" si="9"/>
        <v>10</v>
      </c>
      <c r="D57" s="23">
        <f t="shared" si="9"/>
        <v>365</v>
      </c>
      <c r="E57" s="24">
        <f>C57</f>
        <v>10</v>
      </c>
      <c r="F57" s="23">
        <f>D57</f>
        <v>365</v>
      </c>
      <c r="G57" s="23">
        <f>F57/$B$13</f>
        <v>0.36499999999999999</v>
      </c>
      <c r="H57" s="23">
        <f>1-EXP(-$B$15*E57)</f>
        <v>0.39346934028736658</v>
      </c>
      <c r="I57" s="41">
        <f>ABS(H57-G57)</f>
        <v>2.8469340287366585E-2</v>
      </c>
    </row>
    <row r="58" spans="1:9">
      <c r="A58" s="5">
        <v>2</v>
      </c>
      <c r="B58" s="24">
        <f t="shared" si="9"/>
        <v>10</v>
      </c>
      <c r="C58" s="24">
        <f t="shared" si="9"/>
        <v>20</v>
      </c>
      <c r="D58" s="23">
        <f t="shared" si="9"/>
        <v>245</v>
      </c>
      <c r="E58" s="24">
        <f t="shared" ref="E58:E63" si="10">C58</f>
        <v>20</v>
      </c>
      <c r="F58" s="5">
        <f>F57+D58</f>
        <v>610</v>
      </c>
      <c r="G58" s="23">
        <f t="shared" ref="G58:G63" si="11">F58/$B$13</f>
        <v>0.61</v>
      </c>
      <c r="H58" s="23">
        <f t="shared" ref="H58:H63" si="12">1-EXP(-$B$15*E58)</f>
        <v>0.63212055882855767</v>
      </c>
      <c r="I58" s="41">
        <f t="shared" ref="I58:I63" si="13">ABS(H58-G58)</f>
        <v>2.2120558828557679E-2</v>
      </c>
    </row>
    <row r="59" spans="1:9">
      <c r="A59" s="23">
        <v>3</v>
      </c>
      <c r="B59" s="24">
        <f t="shared" si="9"/>
        <v>20</v>
      </c>
      <c r="C59" s="24">
        <f t="shared" si="9"/>
        <v>30</v>
      </c>
      <c r="D59" s="23">
        <f t="shared" si="9"/>
        <v>150</v>
      </c>
      <c r="E59" s="24">
        <f t="shared" si="10"/>
        <v>30</v>
      </c>
      <c r="F59" s="5">
        <f t="shared" ref="F59:F63" si="14">F58+D59</f>
        <v>760</v>
      </c>
      <c r="G59" s="23">
        <f t="shared" si="11"/>
        <v>0.76</v>
      </c>
      <c r="H59" s="23">
        <f t="shared" si="12"/>
        <v>0.77686983985157021</v>
      </c>
      <c r="I59" s="41">
        <f t="shared" si="13"/>
        <v>1.6869839851570201E-2</v>
      </c>
    </row>
    <row r="60" spans="1:9">
      <c r="A60" s="5">
        <v>4</v>
      </c>
      <c r="B60" s="24">
        <f t="shared" si="9"/>
        <v>30</v>
      </c>
      <c r="C60" s="24">
        <f t="shared" si="9"/>
        <v>40</v>
      </c>
      <c r="D60" s="23">
        <f t="shared" si="9"/>
        <v>100</v>
      </c>
      <c r="E60" s="24">
        <f t="shared" si="10"/>
        <v>40</v>
      </c>
      <c r="F60" s="5">
        <f t="shared" si="14"/>
        <v>860</v>
      </c>
      <c r="G60" s="23">
        <f t="shared" si="11"/>
        <v>0.86</v>
      </c>
      <c r="H60" s="23">
        <f t="shared" si="12"/>
        <v>0.8646647167633873</v>
      </c>
      <c r="I60" s="41">
        <f t="shared" si="13"/>
        <v>4.664716763387311E-3</v>
      </c>
    </row>
    <row r="61" spans="1:9">
      <c r="A61" s="23">
        <v>5</v>
      </c>
      <c r="B61" s="24">
        <f t="shared" si="9"/>
        <v>40</v>
      </c>
      <c r="C61" s="24">
        <f t="shared" si="9"/>
        <v>50</v>
      </c>
      <c r="D61" s="23">
        <f t="shared" si="9"/>
        <v>70</v>
      </c>
      <c r="E61" s="24">
        <f t="shared" si="10"/>
        <v>50</v>
      </c>
      <c r="F61" s="5">
        <f t="shared" si="14"/>
        <v>930</v>
      </c>
      <c r="G61" s="23">
        <f t="shared" si="11"/>
        <v>0.93</v>
      </c>
      <c r="H61" s="23">
        <f t="shared" si="12"/>
        <v>0.91791500137610116</v>
      </c>
      <c r="I61" s="41">
        <f t="shared" si="13"/>
        <v>1.208499862389889E-2</v>
      </c>
    </row>
    <row r="62" spans="1:9">
      <c r="A62" s="5">
        <v>6</v>
      </c>
      <c r="B62" s="24">
        <f t="shared" si="9"/>
        <v>50</v>
      </c>
      <c r="C62" s="24">
        <f t="shared" si="9"/>
        <v>60</v>
      </c>
      <c r="D62" s="23">
        <f t="shared" si="9"/>
        <v>45</v>
      </c>
      <c r="E62" s="24">
        <f t="shared" si="10"/>
        <v>60</v>
      </c>
      <c r="F62" s="5">
        <f t="shared" si="14"/>
        <v>975</v>
      </c>
      <c r="G62" s="23">
        <f t="shared" si="11"/>
        <v>0.97499999999999998</v>
      </c>
      <c r="H62" s="23">
        <f t="shared" si="12"/>
        <v>0.95021293163213605</v>
      </c>
      <c r="I62" s="41">
        <f t="shared" si="13"/>
        <v>2.4787068367863929E-2</v>
      </c>
    </row>
    <row r="63" spans="1:9">
      <c r="A63" s="23">
        <v>7</v>
      </c>
      <c r="B63" s="24">
        <f t="shared" si="9"/>
        <v>60</v>
      </c>
      <c r="C63" s="24">
        <f t="shared" si="9"/>
        <v>70</v>
      </c>
      <c r="D63" s="23">
        <f t="shared" si="9"/>
        <v>25</v>
      </c>
      <c r="E63" s="24">
        <f t="shared" si="10"/>
        <v>70</v>
      </c>
      <c r="F63" s="5">
        <f t="shared" si="14"/>
        <v>1000</v>
      </c>
      <c r="G63" s="23">
        <f t="shared" si="11"/>
        <v>1</v>
      </c>
      <c r="H63" s="23">
        <f t="shared" si="12"/>
        <v>0.96980261657768152</v>
      </c>
      <c r="I63" s="41">
        <f t="shared" si="13"/>
        <v>3.019738342231848E-2</v>
      </c>
    </row>
    <row r="65" spans="1:7">
      <c r="A65" s="13" t="s">
        <v>15</v>
      </c>
      <c r="B65" s="14">
        <f>B13</f>
        <v>1000</v>
      </c>
    </row>
    <row r="66" spans="1:7" ht="15.6">
      <c r="A66" s="13" t="s">
        <v>18</v>
      </c>
      <c r="B66" s="42">
        <f>MAX(I57:I63)</f>
        <v>3.019738342231848E-2</v>
      </c>
      <c r="F66" s="13" t="s">
        <v>19</v>
      </c>
      <c r="G66" s="18"/>
    </row>
    <row r="67" spans="1:7">
      <c r="A67" s="19" t="s">
        <v>21</v>
      </c>
      <c r="B67" s="14">
        <f>B66*SQRT(B65)</f>
        <v>0.95492510991936685</v>
      </c>
    </row>
    <row r="68" spans="1:7">
      <c r="A68" s="20" t="s">
        <v>23</v>
      </c>
      <c r="B68" s="11">
        <v>0.05</v>
      </c>
      <c r="C68" t="s">
        <v>24</v>
      </c>
    </row>
    <row r="69" spans="1:7" ht="15.6">
      <c r="A69" s="21" t="s">
        <v>26</v>
      </c>
      <c r="B69" s="11">
        <v>1.3580000000000001</v>
      </c>
    </row>
    <row r="72" spans="1:7" ht="15.6">
      <c r="B72" s="21" t="s">
        <v>34</v>
      </c>
    </row>
  </sheetData>
  <mergeCells count="23">
    <mergeCell ref="A19:A20"/>
    <mergeCell ref="B19:C19"/>
    <mergeCell ref="D19:D20"/>
    <mergeCell ref="E19:E20"/>
    <mergeCell ref="F19:F20"/>
    <mergeCell ref="A3:B3"/>
    <mergeCell ref="C3:C4"/>
    <mergeCell ref="D3:D4"/>
    <mergeCell ref="E3:E4"/>
    <mergeCell ref="G3:H3"/>
    <mergeCell ref="G55:G56"/>
    <mergeCell ref="H55:H56"/>
    <mergeCell ref="I55:I56"/>
    <mergeCell ref="A30:A31"/>
    <mergeCell ref="B30:C30"/>
    <mergeCell ref="D30:D31"/>
    <mergeCell ref="E30:E31"/>
    <mergeCell ref="F30:F31"/>
    <mergeCell ref="A55:A56"/>
    <mergeCell ref="B55:C55"/>
    <mergeCell ref="D55:D56"/>
    <mergeCell ref="E55:E56"/>
    <mergeCell ref="F55:F56"/>
  </mergeCells>
  <conditionalFormatting sqref="B51">
    <cfRule type="expression" dxfId="9" priority="3" stopIfTrue="1">
      <formula>$B$43&gt;=$B$49</formula>
    </cfRule>
    <cfRule type="expression" dxfId="8" priority="4" stopIfTrue="1">
      <formula>$B$43&lt;$B$49</formula>
    </cfRule>
  </conditionalFormatting>
  <conditionalFormatting sqref="B72">
    <cfRule type="expression" dxfId="7" priority="1" stopIfTrue="1">
      <formula>$B$67&lt;$B$69</formula>
    </cfRule>
    <cfRule type="expression" dxfId="6" priority="2" stopIfTrue="1">
      <formula>$B$67&gt;=$B$69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autoPict="0" r:id="rId4">
            <anchor moveWithCells="1" sizeWithCells="1">
              <from>
                <xdr:col>2</xdr:col>
                <xdr:colOff>99060</xdr:colOff>
                <xdr:row>65</xdr:row>
                <xdr:rowOff>175260</xdr:rowOff>
              </from>
              <to>
                <xdr:col>3</xdr:col>
                <xdr:colOff>144780</xdr:colOff>
                <xdr:row>67</xdr:row>
                <xdr:rowOff>22860</xdr:rowOff>
              </to>
            </anchor>
          </objectPr>
        </oleObject>
      </mc:Choice>
      <mc:Fallback>
        <oleObject progId="Equation.DSMT4" shapeId="2049" r:id="rId3"/>
      </mc:Fallback>
    </mc:AlternateContent>
    <mc:AlternateContent xmlns:mc="http://schemas.openxmlformats.org/markup-compatibility/2006">
      <mc:Choice Requires="x14">
        <oleObject progId="Equation.DSMT4" shapeId="2050" r:id="rId5">
          <objectPr defaultSize="0" autoPict="0" r:id="rId6">
            <anchor moveWithCells="1" sizeWithCells="1">
              <from>
                <xdr:col>2</xdr:col>
                <xdr:colOff>68580</xdr:colOff>
                <xdr:row>64</xdr:row>
                <xdr:rowOff>175260</xdr:rowOff>
              </from>
              <to>
                <xdr:col>4</xdr:col>
                <xdr:colOff>350520</xdr:colOff>
                <xdr:row>66</xdr:row>
                <xdr:rowOff>22860</xdr:rowOff>
              </to>
            </anchor>
          </objectPr>
        </oleObject>
      </mc:Choice>
      <mc:Fallback>
        <oleObject progId="Equation.DSMT4" shapeId="2050" r:id="rId5"/>
      </mc:Fallback>
    </mc:AlternateContent>
    <mc:AlternateContent xmlns:mc="http://schemas.openxmlformats.org/markup-compatibility/2006">
      <mc:Choice Requires="x14">
        <oleObject progId="Equation.DSMT4" shapeId="2051" r:id="rId7">
          <objectPr defaultSize="0" autoPict="0" r:id="rId8">
            <anchor moveWithCells="1" sizeWithCells="1">
              <from>
                <xdr:col>5</xdr:col>
                <xdr:colOff>30480</xdr:colOff>
                <xdr:row>69</xdr:row>
                <xdr:rowOff>7620</xdr:rowOff>
              </from>
              <to>
                <xdr:col>6</xdr:col>
                <xdr:colOff>38100</xdr:colOff>
                <xdr:row>70</xdr:row>
                <xdr:rowOff>45720</xdr:rowOff>
              </to>
            </anchor>
          </objectPr>
        </oleObject>
      </mc:Choice>
      <mc:Fallback>
        <oleObject progId="Equation.DSMT4" shapeId="2051" r:id="rId7"/>
      </mc:Fallback>
    </mc:AlternateContent>
    <mc:AlternateContent xmlns:mc="http://schemas.openxmlformats.org/markup-compatibility/2006">
      <mc:Choice Requires="x14">
        <oleObject progId="Equation.DSMT4" shapeId="2052" r:id="rId9">
          <objectPr defaultSize="0" autoPict="0" r:id="rId10">
            <anchor moveWithCells="1" sizeWithCells="1">
              <from>
                <xdr:col>2</xdr:col>
                <xdr:colOff>99060</xdr:colOff>
                <xdr:row>69</xdr:row>
                <xdr:rowOff>7620</xdr:rowOff>
              </from>
              <to>
                <xdr:col>2</xdr:col>
                <xdr:colOff>525780</xdr:colOff>
                <xdr:row>70</xdr:row>
                <xdr:rowOff>38100</xdr:rowOff>
              </to>
            </anchor>
          </objectPr>
        </oleObject>
      </mc:Choice>
      <mc:Fallback>
        <oleObject progId="Equation.DSMT4" shapeId="2052" r:id="rId9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51"/>
  <sheetViews>
    <sheetView topLeftCell="E3" zoomScale="90" zoomScaleNormal="115" workbookViewId="0">
      <selection activeCell="U21" sqref="U21"/>
    </sheetView>
  </sheetViews>
  <sheetFormatPr defaultRowHeight="14.4"/>
  <cols>
    <col min="1" max="1" width="14.44140625" customWidth="1"/>
    <col min="2" max="2" width="14.33203125" customWidth="1"/>
    <col min="4" max="4" width="11.33203125" customWidth="1"/>
    <col min="6" max="6" width="15" customWidth="1"/>
    <col min="24" max="24" width="12.88671875" customWidth="1"/>
    <col min="257" max="257" width="14.44140625" customWidth="1"/>
    <col min="258" max="258" width="14.33203125" customWidth="1"/>
    <col min="260" max="260" width="11.33203125" customWidth="1"/>
    <col min="262" max="262" width="15" customWidth="1"/>
    <col min="280" max="280" width="12.88671875" customWidth="1"/>
    <col min="513" max="513" width="14.44140625" customWidth="1"/>
    <col min="514" max="514" width="14.33203125" customWidth="1"/>
    <col min="516" max="516" width="11.33203125" customWidth="1"/>
    <col min="518" max="518" width="15" customWidth="1"/>
    <col min="536" max="536" width="12.88671875" customWidth="1"/>
    <col min="769" max="769" width="14.44140625" customWidth="1"/>
    <col min="770" max="770" width="14.33203125" customWidth="1"/>
    <col min="772" max="772" width="11.33203125" customWidth="1"/>
    <col min="774" max="774" width="15" customWidth="1"/>
    <col min="792" max="792" width="12.88671875" customWidth="1"/>
    <col min="1025" max="1025" width="14.44140625" customWidth="1"/>
    <col min="1026" max="1026" width="14.33203125" customWidth="1"/>
    <col min="1028" max="1028" width="11.33203125" customWidth="1"/>
    <col min="1030" max="1030" width="15" customWidth="1"/>
    <col min="1048" max="1048" width="12.88671875" customWidth="1"/>
    <col min="1281" max="1281" width="14.44140625" customWidth="1"/>
    <col min="1282" max="1282" width="14.33203125" customWidth="1"/>
    <col min="1284" max="1284" width="11.33203125" customWidth="1"/>
    <col min="1286" max="1286" width="15" customWidth="1"/>
    <col min="1304" max="1304" width="12.88671875" customWidth="1"/>
    <col min="1537" max="1537" width="14.44140625" customWidth="1"/>
    <col min="1538" max="1538" width="14.33203125" customWidth="1"/>
    <col min="1540" max="1540" width="11.33203125" customWidth="1"/>
    <col min="1542" max="1542" width="15" customWidth="1"/>
    <col min="1560" max="1560" width="12.88671875" customWidth="1"/>
    <col min="1793" max="1793" width="14.44140625" customWidth="1"/>
    <col min="1794" max="1794" width="14.33203125" customWidth="1"/>
    <col min="1796" max="1796" width="11.33203125" customWidth="1"/>
    <col min="1798" max="1798" width="15" customWidth="1"/>
    <col min="1816" max="1816" width="12.88671875" customWidth="1"/>
    <col min="2049" max="2049" width="14.44140625" customWidth="1"/>
    <col min="2050" max="2050" width="14.33203125" customWidth="1"/>
    <col min="2052" max="2052" width="11.33203125" customWidth="1"/>
    <col min="2054" max="2054" width="15" customWidth="1"/>
    <col min="2072" max="2072" width="12.88671875" customWidth="1"/>
    <col min="2305" max="2305" width="14.44140625" customWidth="1"/>
    <col min="2306" max="2306" width="14.33203125" customWidth="1"/>
    <col min="2308" max="2308" width="11.33203125" customWidth="1"/>
    <col min="2310" max="2310" width="15" customWidth="1"/>
    <col min="2328" max="2328" width="12.88671875" customWidth="1"/>
    <col min="2561" max="2561" width="14.44140625" customWidth="1"/>
    <col min="2562" max="2562" width="14.33203125" customWidth="1"/>
    <col min="2564" max="2564" width="11.33203125" customWidth="1"/>
    <col min="2566" max="2566" width="15" customWidth="1"/>
    <col min="2584" max="2584" width="12.88671875" customWidth="1"/>
    <col min="2817" max="2817" width="14.44140625" customWidth="1"/>
    <col min="2818" max="2818" width="14.33203125" customWidth="1"/>
    <col min="2820" max="2820" width="11.33203125" customWidth="1"/>
    <col min="2822" max="2822" width="15" customWidth="1"/>
    <col min="2840" max="2840" width="12.88671875" customWidth="1"/>
    <col min="3073" max="3073" width="14.44140625" customWidth="1"/>
    <col min="3074" max="3074" width="14.33203125" customWidth="1"/>
    <col min="3076" max="3076" width="11.33203125" customWidth="1"/>
    <col min="3078" max="3078" width="15" customWidth="1"/>
    <col min="3096" max="3096" width="12.88671875" customWidth="1"/>
    <col min="3329" max="3329" width="14.44140625" customWidth="1"/>
    <col min="3330" max="3330" width="14.33203125" customWidth="1"/>
    <col min="3332" max="3332" width="11.33203125" customWidth="1"/>
    <col min="3334" max="3334" width="15" customWidth="1"/>
    <col min="3352" max="3352" width="12.88671875" customWidth="1"/>
    <col min="3585" max="3585" width="14.44140625" customWidth="1"/>
    <col min="3586" max="3586" width="14.33203125" customWidth="1"/>
    <col min="3588" max="3588" width="11.33203125" customWidth="1"/>
    <col min="3590" max="3590" width="15" customWidth="1"/>
    <col min="3608" max="3608" width="12.88671875" customWidth="1"/>
    <col min="3841" max="3841" width="14.44140625" customWidth="1"/>
    <col min="3842" max="3842" width="14.33203125" customWidth="1"/>
    <col min="3844" max="3844" width="11.33203125" customWidth="1"/>
    <col min="3846" max="3846" width="15" customWidth="1"/>
    <col min="3864" max="3864" width="12.88671875" customWidth="1"/>
    <col min="4097" max="4097" width="14.44140625" customWidth="1"/>
    <col min="4098" max="4098" width="14.33203125" customWidth="1"/>
    <col min="4100" max="4100" width="11.33203125" customWidth="1"/>
    <col min="4102" max="4102" width="15" customWidth="1"/>
    <col min="4120" max="4120" width="12.88671875" customWidth="1"/>
    <col min="4353" max="4353" width="14.44140625" customWidth="1"/>
    <col min="4354" max="4354" width="14.33203125" customWidth="1"/>
    <col min="4356" max="4356" width="11.33203125" customWidth="1"/>
    <col min="4358" max="4358" width="15" customWidth="1"/>
    <col min="4376" max="4376" width="12.88671875" customWidth="1"/>
    <col min="4609" max="4609" width="14.44140625" customWidth="1"/>
    <col min="4610" max="4610" width="14.33203125" customWidth="1"/>
    <col min="4612" max="4612" width="11.33203125" customWidth="1"/>
    <col min="4614" max="4614" width="15" customWidth="1"/>
    <col min="4632" max="4632" width="12.88671875" customWidth="1"/>
    <col min="4865" max="4865" width="14.44140625" customWidth="1"/>
    <col min="4866" max="4866" width="14.33203125" customWidth="1"/>
    <col min="4868" max="4868" width="11.33203125" customWidth="1"/>
    <col min="4870" max="4870" width="15" customWidth="1"/>
    <col min="4888" max="4888" width="12.88671875" customWidth="1"/>
    <col min="5121" max="5121" width="14.44140625" customWidth="1"/>
    <col min="5122" max="5122" width="14.33203125" customWidth="1"/>
    <col min="5124" max="5124" width="11.33203125" customWidth="1"/>
    <col min="5126" max="5126" width="15" customWidth="1"/>
    <col min="5144" max="5144" width="12.88671875" customWidth="1"/>
    <col min="5377" max="5377" width="14.44140625" customWidth="1"/>
    <col min="5378" max="5378" width="14.33203125" customWidth="1"/>
    <col min="5380" max="5380" width="11.33203125" customWidth="1"/>
    <col min="5382" max="5382" width="15" customWidth="1"/>
    <col min="5400" max="5400" width="12.88671875" customWidth="1"/>
    <col min="5633" max="5633" width="14.44140625" customWidth="1"/>
    <col min="5634" max="5634" width="14.33203125" customWidth="1"/>
    <col min="5636" max="5636" width="11.33203125" customWidth="1"/>
    <col min="5638" max="5638" width="15" customWidth="1"/>
    <col min="5656" max="5656" width="12.88671875" customWidth="1"/>
    <col min="5889" max="5889" width="14.44140625" customWidth="1"/>
    <col min="5890" max="5890" width="14.33203125" customWidth="1"/>
    <col min="5892" max="5892" width="11.33203125" customWidth="1"/>
    <col min="5894" max="5894" width="15" customWidth="1"/>
    <col min="5912" max="5912" width="12.88671875" customWidth="1"/>
    <col min="6145" max="6145" width="14.44140625" customWidth="1"/>
    <col min="6146" max="6146" width="14.33203125" customWidth="1"/>
    <col min="6148" max="6148" width="11.33203125" customWidth="1"/>
    <col min="6150" max="6150" width="15" customWidth="1"/>
    <col min="6168" max="6168" width="12.88671875" customWidth="1"/>
    <col min="6401" max="6401" width="14.44140625" customWidth="1"/>
    <col min="6402" max="6402" width="14.33203125" customWidth="1"/>
    <col min="6404" max="6404" width="11.33203125" customWidth="1"/>
    <col min="6406" max="6406" width="15" customWidth="1"/>
    <col min="6424" max="6424" width="12.88671875" customWidth="1"/>
    <col min="6657" max="6657" width="14.44140625" customWidth="1"/>
    <col min="6658" max="6658" width="14.33203125" customWidth="1"/>
    <col min="6660" max="6660" width="11.33203125" customWidth="1"/>
    <col min="6662" max="6662" width="15" customWidth="1"/>
    <col min="6680" max="6680" width="12.88671875" customWidth="1"/>
    <col min="6913" max="6913" width="14.44140625" customWidth="1"/>
    <col min="6914" max="6914" width="14.33203125" customWidth="1"/>
    <col min="6916" max="6916" width="11.33203125" customWidth="1"/>
    <col min="6918" max="6918" width="15" customWidth="1"/>
    <col min="6936" max="6936" width="12.88671875" customWidth="1"/>
    <col min="7169" max="7169" width="14.44140625" customWidth="1"/>
    <col min="7170" max="7170" width="14.33203125" customWidth="1"/>
    <col min="7172" max="7172" width="11.33203125" customWidth="1"/>
    <col min="7174" max="7174" width="15" customWidth="1"/>
    <col min="7192" max="7192" width="12.88671875" customWidth="1"/>
    <col min="7425" max="7425" width="14.44140625" customWidth="1"/>
    <col min="7426" max="7426" width="14.33203125" customWidth="1"/>
    <col min="7428" max="7428" width="11.33203125" customWidth="1"/>
    <col min="7430" max="7430" width="15" customWidth="1"/>
    <col min="7448" max="7448" width="12.88671875" customWidth="1"/>
    <col min="7681" max="7681" width="14.44140625" customWidth="1"/>
    <col min="7682" max="7682" width="14.33203125" customWidth="1"/>
    <col min="7684" max="7684" width="11.33203125" customWidth="1"/>
    <col min="7686" max="7686" width="15" customWidth="1"/>
    <col min="7704" max="7704" width="12.88671875" customWidth="1"/>
    <col min="7937" max="7937" width="14.44140625" customWidth="1"/>
    <col min="7938" max="7938" width="14.33203125" customWidth="1"/>
    <col min="7940" max="7940" width="11.33203125" customWidth="1"/>
    <col min="7942" max="7942" width="15" customWidth="1"/>
    <col min="7960" max="7960" width="12.88671875" customWidth="1"/>
    <col min="8193" max="8193" width="14.44140625" customWidth="1"/>
    <col min="8194" max="8194" width="14.33203125" customWidth="1"/>
    <col min="8196" max="8196" width="11.33203125" customWidth="1"/>
    <col min="8198" max="8198" width="15" customWidth="1"/>
    <col min="8216" max="8216" width="12.88671875" customWidth="1"/>
    <col min="8449" max="8449" width="14.44140625" customWidth="1"/>
    <col min="8450" max="8450" width="14.33203125" customWidth="1"/>
    <col min="8452" max="8452" width="11.33203125" customWidth="1"/>
    <col min="8454" max="8454" width="15" customWidth="1"/>
    <col min="8472" max="8472" width="12.88671875" customWidth="1"/>
    <col min="8705" max="8705" width="14.44140625" customWidth="1"/>
    <col min="8706" max="8706" width="14.33203125" customWidth="1"/>
    <col min="8708" max="8708" width="11.33203125" customWidth="1"/>
    <col min="8710" max="8710" width="15" customWidth="1"/>
    <col min="8728" max="8728" width="12.88671875" customWidth="1"/>
    <col min="8961" max="8961" width="14.44140625" customWidth="1"/>
    <col min="8962" max="8962" width="14.33203125" customWidth="1"/>
    <col min="8964" max="8964" width="11.33203125" customWidth="1"/>
    <col min="8966" max="8966" width="15" customWidth="1"/>
    <col min="8984" max="8984" width="12.88671875" customWidth="1"/>
    <col min="9217" max="9217" width="14.44140625" customWidth="1"/>
    <col min="9218" max="9218" width="14.33203125" customWidth="1"/>
    <col min="9220" max="9220" width="11.33203125" customWidth="1"/>
    <col min="9222" max="9222" width="15" customWidth="1"/>
    <col min="9240" max="9240" width="12.88671875" customWidth="1"/>
    <col min="9473" max="9473" width="14.44140625" customWidth="1"/>
    <col min="9474" max="9474" width="14.33203125" customWidth="1"/>
    <col min="9476" max="9476" width="11.33203125" customWidth="1"/>
    <col min="9478" max="9478" width="15" customWidth="1"/>
    <col min="9496" max="9496" width="12.88671875" customWidth="1"/>
    <col min="9729" max="9729" width="14.44140625" customWidth="1"/>
    <col min="9730" max="9730" width="14.33203125" customWidth="1"/>
    <col min="9732" max="9732" width="11.33203125" customWidth="1"/>
    <col min="9734" max="9734" width="15" customWidth="1"/>
    <col min="9752" max="9752" width="12.88671875" customWidth="1"/>
    <col min="9985" max="9985" width="14.44140625" customWidth="1"/>
    <col min="9986" max="9986" width="14.33203125" customWidth="1"/>
    <col min="9988" max="9988" width="11.33203125" customWidth="1"/>
    <col min="9990" max="9990" width="15" customWidth="1"/>
    <col min="10008" max="10008" width="12.88671875" customWidth="1"/>
    <col min="10241" max="10241" width="14.44140625" customWidth="1"/>
    <col min="10242" max="10242" width="14.33203125" customWidth="1"/>
    <col min="10244" max="10244" width="11.33203125" customWidth="1"/>
    <col min="10246" max="10246" width="15" customWidth="1"/>
    <col min="10264" max="10264" width="12.88671875" customWidth="1"/>
    <col min="10497" max="10497" width="14.44140625" customWidth="1"/>
    <col min="10498" max="10498" width="14.33203125" customWidth="1"/>
    <col min="10500" max="10500" width="11.33203125" customWidth="1"/>
    <col min="10502" max="10502" width="15" customWidth="1"/>
    <col min="10520" max="10520" width="12.88671875" customWidth="1"/>
    <col min="10753" max="10753" width="14.44140625" customWidth="1"/>
    <col min="10754" max="10754" width="14.33203125" customWidth="1"/>
    <col min="10756" max="10756" width="11.33203125" customWidth="1"/>
    <col min="10758" max="10758" width="15" customWidth="1"/>
    <col min="10776" max="10776" width="12.88671875" customWidth="1"/>
    <col min="11009" max="11009" width="14.44140625" customWidth="1"/>
    <col min="11010" max="11010" width="14.33203125" customWidth="1"/>
    <col min="11012" max="11012" width="11.33203125" customWidth="1"/>
    <col min="11014" max="11014" width="15" customWidth="1"/>
    <col min="11032" max="11032" width="12.88671875" customWidth="1"/>
    <col min="11265" max="11265" width="14.44140625" customWidth="1"/>
    <col min="11266" max="11266" width="14.33203125" customWidth="1"/>
    <col min="11268" max="11268" width="11.33203125" customWidth="1"/>
    <col min="11270" max="11270" width="15" customWidth="1"/>
    <col min="11288" max="11288" width="12.88671875" customWidth="1"/>
    <col min="11521" max="11521" width="14.44140625" customWidth="1"/>
    <col min="11522" max="11522" width="14.33203125" customWidth="1"/>
    <col min="11524" max="11524" width="11.33203125" customWidth="1"/>
    <col min="11526" max="11526" width="15" customWidth="1"/>
    <col min="11544" max="11544" width="12.88671875" customWidth="1"/>
    <col min="11777" max="11777" width="14.44140625" customWidth="1"/>
    <col min="11778" max="11778" width="14.33203125" customWidth="1"/>
    <col min="11780" max="11780" width="11.33203125" customWidth="1"/>
    <col min="11782" max="11782" width="15" customWidth="1"/>
    <col min="11800" max="11800" width="12.88671875" customWidth="1"/>
    <col min="12033" max="12033" width="14.44140625" customWidth="1"/>
    <col min="12034" max="12034" width="14.33203125" customWidth="1"/>
    <col min="12036" max="12036" width="11.33203125" customWidth="1"/>
    <col min="12038" max="12038" width="15" customWidth="1"/>
    <col min="12056" max="12056" width="12.88671875" customWidth="1"/>
    <col min="12289" max="12289" width="14.44140625" customWidth="1"/>
    <col min="12290" max="12290" width="14.33203125" customWidth="1"/>
    <col min="12292" max="12292" width="11.33203125" customWidth="1"/>
    <col min="12294" max="12294" width="15" customWidth="1"/>
    <col min="12312" max="12312" width="12.88671875" customWidth="1"/>
    <col min="12545" max="12545" width="14.44140625" customWidth="1"/>
    <col min="12546" max="12546" width="14.33203125" customWidth="1"/>
    <col min="12548" max="12548" width="11.33203125" customWidth="1"/>
    <col min="12550" max="12550" width="15" customWidth="1"/>
    <col min="12568" max="12568" width="12.88671875" customWidth="1"/>
    <col min="12801" max="12801" width="14.44140625" customWidth="1"/>
    <col min="12802" max="12802" width="14.33203125" customWidth="1"/>
    <col min="12804" max="12804" width="11.33203125" customWidth="1"/>
    <col min="12806" max="12806" width="15" customWidth="1"/>
    <col min="12824" max="12824" width="12.88671875" customWidth="1"/>
    <col min="13057" max="13057" width="14.44140625" customWidth="1"/>
    <col min="13058" max="13058" width="14.33203125" customWidth="1"/>
    <col min="13060" max="13060" width="11.33203125" customWidth="1"/>
    <col min="13062" max="13062" width="15" customWidth="1"/>
    <col min="13080" max="13080" width="12.88671875" customWidth="1"/>
    <col min="13313" max="13313" width="14.44140625" customWidth="1"/>
    <col min="13314" max="13314" width="14.33203125" customWidth="1"/>
    <col min="13316" max="13316" width="11.33203125" customWidth="1"/>
    <col min="13318" max="13318" width="15" customWidth="1"/>
    <col min="13336" max="13336" width="12.88671875" customWidth="1"/>
    <col min="13569" max="13569" width="14.44140625" customWidth="1"/>
    <col min="13570" max="13570" width="14.33203125" customWidth="1"/>
    <col min="13572" max="13572" width="11.33203125" customWidth="1"/>
    <col min="13574" max="13574" width="15" customWidth="1"/>
    <col min="13592" max="13592" width="12.88671875" customWidth="1"/>
    <col min="13825" max="13825" width="14.44140625" customWidth="1"/>
    <col min="13826" max="13826" width="14.33203125" customWidth="1"/>
    <col min="13828" max="13828" width="11.33203125" customWidth="1"/>
    <col min="13830" max="13830" width="15" customWidth="1"/>
    <col min="13848" max="13848" width="12.88671875" customWidth="1"/>
    <col min="14081" max="14081" width="14.44140625" customWidth="1"/>
    <col min="14082" max="14082" width="14.33203125" customWidth="1"/>
    <col min="14084" max="14084" width="11.33203125" customWidth="1"/>
    <col min="14086" max="14086" width="15" customWidth="1"/>
    <col min="14104" max="14104" width="12.88671875" customWidth="1"/>
    <col min="14337" max="14337" width="14.44140625" customWidth="1"/>
    <col min="14338" max="14338" width="14.33203125" customWidth="1"/>
    <col min="14340" max="14340" width="11.33203125" customWidth="1"/>
    <col min="14342" max="14342" width="15" customWidth="1"/>
    <col min="14360" max="14360" width="12.88671875" customWidth="1"/>
    <col min="14593" max="14593" width="14.44140625" customWidth="1"/>
    <col min="14594" max="14594" width="14.33203125" customWidth="1"/>
    <col min="14596" max="14596" width="11.33203125" customWidth="1"/>
    <col min="14598" max="14598" width="15" customWidth="1"/>
    <col min="14616" max="14616" width="12.88671875" customWidth="1"/>
    <col min="14849" max="14849" width="14.44140625" customWidth="1"/>
    <col min="14850" max="14850" width="14.33203125" customWidth="1"/>
    <col min="14852" max="14852" width="11.33203125" customWidth="1"/>
    <col min="14854" max="14854" width="15" customWidth="1"/>
    <col min="14872" max="14872" width="12.88671875" customWidth="1"/>
    <col min="15105" max="15105" width="14.44140625" customWidth="1"/>
    <col min="15106" max="15106" width="14.33203125" customWidth="1"/>
    <col min="15108" max="15108" width="11.33203125" customWidth="1"/>
    <col min="15110" max="15110" width="15" customWidth="1"/>
    <col min="15128" max="15128" width="12.88671875" customWidth="1"/>
    <col min="15361" max="15361" width="14.44140625" customWidth="1"/>
    <col min="15362" max="15362" width="14.33203125" customWidth="1"/>
    <col min="15364" max="15364" width="11.33203125" customWidth="1"/>
    <col min="15366" max="15366" width="15" customWidth="1"/>
    <col min="15384" max="15384" width="12.88671875" customWidth="1"/>
    <col min="15617" max="15617" width="14.44140625" customWidth="1"/>
    <col min="15618" max="15618" width="14.33203125" customWidth="1"/>
    <col min="15620" max="15620" width="11.33203125" customWidth="1"/>
    <col min="15622" max="15622" width="15" customWidth="1"/>
    <col min="15640" max="15640" width="12.88671875" customWidth="1"/>
    <col min="15873" max="15873" width="14.44140625" customWidth="1"/>
    <col min="15874" max="15874" width="14.33203125" customWidth="1"/>
    <col min="15876" max="15876" width="11.33203125" customWidth="1"/>
    <col min="15878" max="15878" width="15" customWidth="1"/>
    <col min="15896" max="15896" width="12.88671875" customWidth="1"/>
    <col min="16129" max="16129" width="14.44140625" customWidth="1"/>
    <col min="16130" max="16130" width="14.33203125" customWidth="1"/>
    <col min="16132" max="16132" width="11.33203125" customWidth="1"/>
    <col min="16134" max="16134" width="15" customWidth="1"/>
    <col min="16152" max="16152" width="12.88671875" customWidth="1"/>
  </cols>
  <sheetData>
    <row r="1" spans="1:26" ht="118.5" customHeight="1"/>
    <row r="3" spans="1:26" ht="26.25" customHeight="1">
      <c r="A3" s="84" t="s">
        <v>0</v>
      </c>
      <c r="B3" s="84"/>
      <c r="C3" s="67" t="s">
        <v>1</v>
      </c>
      <c r="D3" s="67" t="s">
        <v>2</v>
      </c>
      <c r="E3" s="85" t="s">
        <v>3</v>
      </c>
      <c r="F3" s="87" t="s">
        <v>4</v>
      </c>
      <c r="Q3" s="84" t="s">
        <v>0</v>
      </c>
      <c r="R3" s="84"/>
      <c r="S3" s="67" t="s">
        <v>5</v>
      </c>
      <c r="T3" s="67" t="s">
        <v>1</v>
      </c>
      <c r="U3" s="67" t="s">
        <v>6</v>
      </c>
      <c r="V3" s="67" t="s">
        <v>7</v>
      </c>
      <c r="W3" s="67" t="s">
        <v>8</v>
      </c>
      <c r="X3" s="1" t="s">
        <v>9</v>
      </c>
      <c r="Y3" s="69" t="s">
        <v>10</v>
      </c>
      <c r="Z3" s="67" t="s">
        <v>11</v>
      </c>
    </row>
    <row r="4" spans="1:26" ht="21" customHeight="1">
      <c r="A4" s="2" t="s">
        <v>12</v>
      </c>
      <c r="B4" s="3" t="s">
        <v>13</v>
      </c>
      <c r="C4" s="82"/>
      <c r="D4" s="82"/>
      <c r="E4" s="86"/>
      <c r="F4" s="87"/>
      <c r="Q4" s="2" t="s">
        <v>12</v>
      </c>
      <c r="R4" s="3" t="s">
        <v>13</v>
      </c>
      <c r="S4" s="82"/>
      <c r="T4" s="82"/>
      <c r="U4" s="82"/>
      <c r="V4" s="82"/>
      <c r="W4" s="82"/>
      <c r="X4" s="4" t="s">
        <v>14</v>
      </c>
      <c r="Y4" s="83"/>
      <c r="Z4" s="82"/>
    </row>
    <row r="5" spans="1:26">
      <c r="A5" s="5">
        <v>94</v>
      </c>
      <c r="B5" s="5">
        <v>100</v>
      </c>
      <c r="C5" s="5">
        <v>3</v>
      </c>
      <c r="D5" s="5">
        <f>(A5+B5)/2</f>
        <v>97</v>
      </c>
      <c r="E5" s="5">
        <f>D5*C5</f>
        <v>291</v>
      </c>
      <c r="F5" s="6">
        <f>(D5-$B$16)^2*C5</f>
        <v>1478.5200000000004</v>
      </c>
      <c r="Q5" s="5">
        <v>94</v>
      </c>
      <c r="R5" s="5">
        <v>100</v>
      </c>
      <c r="S5" s="5">
        <f>R5</f>
        <v>100</v>
      </c>
      <c r="T5" s="5">
        <v>3</v>
      </c>
      <c r="U5" s="5">
        <f>T5/$B$15</f>
        <v>0.03</v>
      </c>
      <c r="V5" s="5">
        <f>T5</f>
        <v>3</v>
      </c>
      <c r="W5" s="7">
        <f>V5/$B$15</f>
        <v>0.03</v>
      </c>
      <c r="X5" s="8">
        <f>(S5-$B$16)/$B$18</f>
        <v>-2.0425111632135216</v>
      </c>
      <c r="Y5" s="9">
        <f>NORMDIST(S5,$B$16,$B$18,TRUE)</f>
        <v>2.0550426619504784E-2</v>
      </c>
      <c r="Z5" s="10">
        <f>ABS(W5-Y5)</f>
        <v>9.4495733804952145E-3</v>
      </c>
    </row>
    <row r="6" spans="1:26">
      <c r="A6" s="5">
        <f t="shared" ref="A6:B12" si="0">A5+6</f>
        <v>100</v>
      </c>
      <c r="B6" s="5">
        <f t="shared" si="0"/>
        <v>106</v>
      </c>
      <c r="C6" s="5">
        <v>7</v>
      </c>
      <c r="D6" s="5">
        <f t="shared" ref="D6:D12" si="1">(A6+B6)/2</f>
        <v>103</v>
      </c>
      <c r="E6" s="5">
        <f t="shared" ref="E6:E12" si="2">D6*C6</f>
        <v>721</v>
      </c>
      <c r="F6" s="6">
        <f t="shared" ref="F6:F12" si="3">(D6-$B$16)^2*C6</f>
        <v>1837.0800000000008</v>
      </c>
      <c r="Q6" s="5">
        <f t="shared" ref="Q6:R12" si="4">Q5+6</f>
        <v>100</v>
      </c>
      <c r="R6" s="5">
        <f t="shared" si="4"/>
        <v>106</v>
      </c>
      <c r="S6" s="5">
        <f t="shared" ref="S6:S12" si="5">R6</f>
        <v>106</v>
      </c>
      <c r="T6" s="5">
        <v>7</v>
      </c>
      <c r="U6" s="5">
        <f t="shared" ref="U6:U12" si="6">T6/$B$15</f>
        <v>7.0000000000000007E-2</v>
      </c>
      <c r="V6" s="5">
        <f>V5+T6</f>
        <v>10</v>
      </c>
      <c r="W6" s="7">
        <f t="shared" ref="W6:W12" si="7">V6/$B$15</f>
        <v>0.1</v>
      </c>
      <c r="X6" s="8">
        <f t="shared" ref="X6:X12" si="8">(S6-$B$16)/$B$18</f>
        <v>-1.4042264247092962</v>
      </c>
      <c r="Y6" s="9">
        <f t="shared" ref="Y6:Y12" si="9">NORMDIST(S6,$B$16,$B$18,TRUE)</f>
        <v>8.0125717734042964E-2</v>
      </c>
      <c r="Z6" s="10">
        <f t="shared" ref="Z6:Z12" si="10">ABS(W6-Y6)</f>
        <v>1.9874282265957041E-2</v>
      </c>
    </row>
    <row r="7" spans="1:26">
      <c r="A7" s="5">
        <f t="shared" si="0"/>
        <v>106</v>
      </c>
      <c r="B7" s="5">
        <f t="shared" si="0"/>
        <v>112</v>
      </c>
      <c r="C7" s="5">
        <v>11</v>
      </c>
      <c r="D7" s="5">
        <f t="shared" si="1"/>
        <v>109</v>
      </c>
      <c r="E7" s="5">
        <f t="shared" si="2"/>
        <v>1199</v>
      </c>
      <c r="F7" s="6">
        <f t="shared" si="3"/>
        <v>1144.4400000000007</v>
      </c>
      <c r="Q7" s="5">
        <f t="shared" si="4"/>
        <v>106</v>
      </c>
      <c r="R7" s="5">
        <f t="shared" si="4"/>
        <v>112</v>
      </c>
      <c r="S7" s="5">
        <f t="shared" si="5"/>
        <v>112</v>
      </c>
      <c r="T7" s="5">
        <v>11</v>
      </c>
      <c r="U7" s="5">
        <f t="shared" si="6"/>
        <v>0.11</v>
      </c>
      <c r="V7" s="5">
        <f t="shared" ref="V7:V12" si="11">V6+T7</f>
        <v>21</v>
      </c>
      <c r="W7" s="7">
        <f t="shared" si="7"/>
        <v>0.21</v>
      </c>
      <c r="X7" s="8">
        <f t="shared" si="8"/>
        <v>-0.76594168620507075</v>
      </c>
      <c r="Y7" s="9">
        <f t="shared" si="9"/>
        <v>0.22185550025937709</v>
      </c>
      <c r="Z7" s="10">
        <f t="shared" si="10"/>
        <v>1.1855500259377094E-2</v>
      </c>
    </row>
    <row r="8" spans="1:26">
      <c r="A8" s="5">
        <f t="shared" si="0"/>
        <v>112</v>
      </c>
      <c r="B8" s="5">
        <f t="shared" si="0"/>
        <v>118</v>
      </c>
      <c r="C8" s="5">
        <v>20</v>
      </c>
      <c r="D8" s="5">
        <f t="shared" si="1"/>
        <v>115</v>
      </c>
      <c r="E8" s="5">
        <f t="shared" si="2"/>
        <v>2300</v>
      </c>
      <c r="F8" s="6">
        <f t="shared" si="3"/>
        <v>352.80000000000052</v>
      </c>
      <c r="Q8" s="5">
        <f t="shared" si="4"/>
        <v>112</v>
      </c>
      <c r="R8" s="5">
        <f t="shared" si="4"/>
        <v>118</v>
      </c>
      <c r="S8" s="5">
        <f t="shared" si="5"/>
        <v>118</v>
      </c>
      <c r="T8" s="5">
        <v>20</v>
      </c>
      <c r="U8" s="5">
        <f t="shared" si="6"/>
        <v>0.2</v>
      </c>
      <c r="V8" s="5">
        <f t="shared" si="11"/>
        <v>41</v>
      </c>
      <c r="W8" s="7">
        <f t="shared" si="7"/>
        <v>0.41</v>
      </c>
      <c r="X8" s="8">
        <f t="shared" si="8"/>
        <v>-0.12765694770084537</v>
      </c>
      <c r="Y8" s="9">
        <f t="shared" si="9"/>
        <v>0.44921023100324259</v>
      </c>
      <c r="Z8" s="10">
        <f t="shared" si="10"/>
        <v>3.9210231003242613E-2</v>
      </c>
    </row>
    <row r="9" spans="1:26">
      <c r="A9" s="5">
        <f t="shared" si="0"/>
        <v>118</v>
      </c>
      <c r="B9" s="5">
        <f t="shared" si="0"/>
        <v>124</v>
      </c>
      <c r="C9" s="5">
        <v>28</v>
      </c>
      <c r="D9" s="5">
        <f t="shared" si="1"/>
        <v>121</v>
      </c>
      <c r="E9" s="5">
        <f t="shared" si="2"/>
        <v>3388</v>
      </c>
      <c r="F9" s="6">
        <f t="shared" si="3"/>
        <v>90.719999999999715</v>
      </c>
      <c r="Q9" s="5">
        <f t="shared" si="4"/>
        <v>118</v>
      </c>
      <c r="R9" s="5">
        <f t="shared" si="4"/>
        <v>124</v>
      </c>
      <c r="S9" s="5">
        <f t="shared" si="5"/>
        <v>124</v>
      </c>
      <c r="T9" s="5">
        <v>28</v>
      </c>
      <c r="U9" s="5">
        <f t="shared" si="6"/>
        <v>0.28000000000000003</v>
      </c>
      <c r="V9" s="5">
        <f t="shared" si="11"/>
        <v>69</v>
      </c>
      <c r="W9" s="7">
        <f t="shared" si="7"/>
        <v>0.69</v>
      </c>
      <c r="X9" s="8">
        <f t="shared" si="8"/>
        <v>0.51062779080338005</v>
      </c>
      <c r="Y9" s="9">
        <f t="shared" si="9"/>
        <v>0.69519414390701373</v>
      </c>
      <c r="Z9" s="10">
        <f t="shared" si="10"/>
        <v>5.1941439070137818E-3</v>
      </c>
    </row>
    <row r="10" spans="1:26">
      <c r="A10" s="5">
        <f t="shared" si="0"/>
        <v>124</v>
      </c>
      <c r="B10" s="5">
        <f t="shared" si="0"/>
        <v>130</v>
      </c>
      <c r="C10" s="5">
        <v>19</v>
      </c>
      <c r="D10" s="5">
        <f t="shared" si="1"/>
        <v>127</v>
      </c>
      <c r="E10" s="5">
        <f t="shared" si="2"/>
        <v>2413</v>
      </c>
      <c r="F10" s="6">
        <f t="shared" si="3"/>
        <v>1155.9599999999991</v>
      </c>
      <c r="Q10" s="5">
        <f t="shared" si="4"/>
        <v>124</v>
      </c>
      <c r="R10" s="5">
        <f t="shared" si="4"/>
        <v>130</v>
      </c>
      <c r="S10" s="5">
        <f t="shared" si="5"/>
        <v>130</v>
      </c>
      <c r="T10" s="5">
        <v>19</v>
      </c>
      <c r="U10" s="5">
        <f t="shared" si="6"/>
        <v>0.19</v>
      </c>
      <c r="V10" s="5">
        <f t="shared" si="11"/>
        <v>88</v>
      </c>
      <c r="W10" s="7">
        <f t="shared" si="7"/>
        <v>0.88</v>
      </c>
      <c r="X10" s="8">
        <f t="shared" si="8"/>
        <v>1.1489125293076055</v>
      </c>
      <c r="Y10" s="9">
        <f t="shared" si="9"/>
        <v>0.87470397465715788</v>
      </c>
      <c r="Z10" s="10">
        <f t="shared" si="10"/>
        <v>5.2960253428421256E-3</v>
      </c>
    </row>
    <row r="11" spans="1:26">
      <c r="A11" s="5">
        <f t="shared" si="0"/>
        <v>130</v>
      </c>
      <c r="B11" s="5">
        <f t="shared" si="0"/>
        <v>136</v>
      </c>
      <c r="C11" s="5">
        <v>10</v>
      </c>
      <c r="D11" s="5">
        <f t="shared" si="1"/>
        <v>133</v>
      </c>
      <c r="E11" s="5">
        <f t="shared" si="2"/>
        <v>1330</v>
      </c>
      <c r="F11" s="6">
        <f t="shared" si="3"/>
        <v>1904.3999999999992</v>
      </c>
      <c r="Q11" s="5">
        <f t="shared" si="4"/>
        <v>130</v>
      </c>
      <c r="R11" s="5">
        <f t="shared" si="4"/>
        <v>136</v>
      </c>
      <c r="S11" s="5">
        <f t="shared" si="5"/>
        <v>136</v>
      </c>
      <c r="T11" s="5">
        <v>10</v>
      </c>
      <c r="U11" s="5">
        <f t="shared" si="6"/>
        <v>0.1</v>
      </c>
      <c r="V11" s="5">
        <f t="shared" si="11"/>
        <v>98</v>
      </c>
      <c r="W11" s="7">
        <f t="shared" si="7"/>
        <v>0.98</v>
      </c>
      <c r="X11" s="8">
        <f t="shared" si="8"/>
        <v>1.7871972678118309</v>
      </c>
      <c r="Y11" s="9">
        <f t="shared" si="9"/>
        <v>0.96304719461977917</v>
      </c>
      <c r="Z11" s="10">
        <f t="shared" si="10"/>
        <v>1.6952805380220815E-2</v>
      </c>
    </row>
    <row r="12" spans="1:26">
      <c r="A12" s="5">
        <f t="shared" si="0"/>
        <v>136</v>
      </c>
      <c r="B12" s="5">
        <f t="shared" si="0"/>
        <v>142</v>
      </c>
      <c r="C12" s="5">
        <v>2</v>
      </c>
      <c r="D12" s="5">
        <f t="shared" si="1"/>
        <v>139</v>
      </c>
      <c r="E12" s="5">
        <f t="shared" si="2"/>
        <v>278</v>
      </c>
      <c r="F12" s="6">
        <f t="shared" si="3"/>
        <v>784.07999999999981</v>
      </c>
      <c r="Q12" s="5">
        <f t="shared" si="4"/>
        <v>136</v>
      </c>
      <c r="R12" s="5">
        <f t="shared" si="4"/>
        <v>142</v>
      </c>
      <c r="S12" s="5">
        <f t="shared" si="5"/>
        <v>142</v>
      </c>
      <c r="T12" s="5">
        <v>2</v>
      </c>
      <c r="U12" s="5">
        <f t="shared" si="6"/>
        <v>0.02</v>
      </c>
      <c r="V12" s="5">
        <f t="shared" si="11"/>
        <v>100</v>
      </c>
      <c r="W12" s="7">
        <f t="shared" si="7"/>
        <v>1</v>
      </c>
      <c r="X12" s="8">
        <f t="shared" si="8"/>
        <v>2.4254820063160563</v>
      </c>
      <c r="Y12" s="9">
        <f t="shared" si="9"/>
        <v>0.9923559632026151</v>
      </c>
      <c r="Z12" s="10">
        <f t="shared" si="10"/>
        <v>7.644036797384901E-3</v>
      </c>
    </row>
    <row r="13" spans="1:26">
      <c r="A13" s="11"/>
      <c r="B13" s="11"/>
      <c r="C13" s="11"/>
      <c r="D13" s="11"/>
      <c r="E13" s="11"/>
      <c r="T13" s="12"/>
    </row>
    <row r="14" spans="1:26">
      <c r="R14" s="13" t="s">
        <v>15</v>
      </c>
      <c r="S14" s="14">
        <f>B15</f>
        <v>100</v>
      </c>
    </row>
    <row r="15" spans="1:26" ht="15.6">
      <c r="A15" s="15" t="s">
        <v>16</v>
      </c>
      <c r="B15" s="5">
        <f>SUM(C5:C12)</f>
        <v>100</v>
      </c>
      <c r="D15" s="16" t="s">
        <v>17</v>
      </c>
      <c r="E15" s="17" t="s">
        <v>79</v>
      </c>
      <c r="F15" s="17"/>
      <c r="R15" s="13" t="s">
        <v>18</v>
      </c>
      <c r="S15" s="42">
        <f>MAX(Z5:Z12)</f>
        <v>3.9210231003242613E-2</v>
      </c>
      <c r="W15" s="13" t="s">
        <v>19</v>
      </c>
      <c r="X15" s="18"/>
    </row>
    <row r="16" spans="1:26">
      <c r="A16" s="15" t="s">
        <v>20</v>
      </c>
      <c r="B16" s="7">
        <f>SUM(E5:E12)/B15</f>
        <v>119.2</v>
      </c>
      <c r="R16" s="19" t="s">
        <v>21</v>
      </c>
      <c r="S16" s="14">
        <f>S15*SQRT(S14)</f>
        <v>0.39210231003242613</v>
      </c>
    </row>
    <row r="17" spans="1:20">
      <c r="A17" s="15" t="s">
        <v>22</v>
      </c>
      <c r="B17" s="7">
        <f>SUM(F5:F12)/(B15-1)</f>
        <v>88.36363636363636</v>
      </c>
      <c r="R17" s="20" t="s">
        <v>23</v>
      </c>
      <c r="S17" s="11">
        <v>0.05</v>
      </c>
      <c r="T17" t="s">
        <v>24</v>
      </c>
    </row>
    <row r="18" spans="1:20" ht="15.6">
      <c r="A18" s="15" t="s">
        <v>25</v>
      </c>
      <c r="B18" s="7">
        <f>SQRT(B17)</f>
        <v>9.4001934216076837</v>
      </c>
      <c r="R18" s="21" t="s">
        <v>26</v>
      </c>
      <c r="S18" s="11">
        <v>1.3580000000000001</v>
      </c>
    </row>
    <row r="21" spans="1:20" ht="15" customHeight="1">
      <c r="A21" s="71" t="s">
        <v>27</v>
      </c>
      <c r="B21" s="73" t="s">
        <v>28</v>
      </c>
      <c r="C21" s="73"/>
      <c r="D21" s="69" t="s">
        <v>29</v>
      </c>
      <c r="E21" s="69" t="s">
        <v>30</v>
      </c>
      <c r="F21" s="69" t="s">
        <v>31</v>
      </c>
      <c r="G21" s="69" t="s">
        <v>32</v>
      </c>
      <c r="H21" s="69" t="s">
        <v>33</v>
      </c>
      <c r="S21" s="21" t="s">
        <v>34</v>
      </c>
    </row>
    <row r="22" spans="1:20" ht="16.2" thickBot="1">
      <c r="A22" s="72"/>
      <c r="B22" s="22" t="s">
        <v>35</v>
      </c>
      <c r="C22" s="22" t="s">
        <v>36</v>
      </c>
      <c r="D22" s="70"/>
      <c r="E22" s="70"/>
      <c r="F22" s="70"/>
      <c r="G22" s="70"/>
      <c r="H22" s="70"/>
    </row>
    <row r="23" spans="1:20" ht="15" thickTop="1">
      <c r="A23" s="23">
        <v>1</v>
      </c>
      <c r="B23" s="24">
        <f>Q5</f>
        <v>94</v>
      </c>
      <c r="C23" s="24">
        <f>R5</f>
        <v>100</v>
      </c>
      <c r="D23" s="23">
        <f>T5</f>
        <v>3</v>
      </c>
      <c r="E23" s="25">
        <f>NORMSDIST((B23-$B$16)/$B$18)</f>
        <v>3.6723648573042359E-3</v>
      </c>
      <c r="F23" s="25">
        <f>NORMSDIST((C23-$B$16)/$B$18)</f>
        <v>2.0550426619504784E-2</v>
      </c>
      <c r="G23" s="25">
        <f>F23-E23</f>
        <v>1.6878061762200549E-2</v>
      </c>
      <c r="H23" s="25">
        <f>$B$15*G23</f>
        <v>1.6878061762200549</v>
      </c>
    </row>
    <row r="24" spans="1:20">
      <c r="A24" s="23">
        <v>2</v>
      </c>
      <c r="B24" s="24">
        <f t="shared" ref="B24:B30" si="12">Q6</f>
        <v>100</v>
      </c>
      <c r="C24" s="24">
        <f t="shared" ref="C24:C30" si="13">R6</f>
        <v>106</v>
      </c>
      <c r="D24" s="23">
        <f t="shared" ref="D24:D30" si="14">T6</f>
        <v>7</v>
      </c>
      <c r="E24" s="25">
        <f t="shared" ref="E24:F30" si="15">NORMSDIST((B24-$B$16)/$B$18)</f>
        <v>2.0550426619504784E-2</v>
      </c>
      <c r="F24" s="25">
        <f t="shared" si="15"/>
        <v>8.0125717734042964E-2</v>
      </c>
      <c r="G24" s="25">
        <f t="shared" ref="G24:G30" si="16">F24-E24</f>
        <v>5.957529111453818E-2</v>
      </c>
      <c r="H24" s="25">
        <f t="shared" ref="H24:H30" si="17">$B$15*G24</f>
        <v>5.9575291114538178</v>
      </c>
    </row>
    <row r="25" spans="1:20">
      <c r="A25" s="23">
        <v>3</v>
      </c>
      <c r="B25" s="24">
        <f t="shared" si="12"/>
        <v>106</v>
      </c>
      <c r="C25" s="24">
        <f t="shared" si="13"/>
        <v>112</v>
      </c>
      <c r="D25" s="23">
        <f t="shared" si="14"/>
        <v>11</v>
      </c>
      <c r="E25" s="25">
        <f t="shared" si="15"/>
        <v>8.0125717734042964E-2</v>
      </c>
      <c r="F25" s="25">
        <f t="shared" si="15"/>
        <v>0.22185550025937709</v>
      </c>
      <c r="G25" s="25">
        <f t="shared" si="16"/>
        <v>0.14172978252533414</v>
      </c>
      <c r="H25" s="25">
        <f t="shared" si="17"/>
        <v>14.172978252533413</v>
      </c>
    </row>
    <row r="26" spans="1:20">
      <c r="A26" s="23">
        <v>4</v>
      </c>
      <c r="B26" s="24">
        <f t="shared" si="12"/>
        <v>112</v>
      </c>
      <c r="C26" s="24">
        <f t="shared" si="13"/>
        <v>118</v>
      </c>
      <c r="D26" s="23">
        <f t="shared" si="14"/>
        <v>20</v>
      </c>
      <c r="E26" s="25">
        <f t="shared" si="15"/>
        <v>0.22185550025937709</v>
      </c>
      <c r="F26" s="25">
        <f t="shared" si="15"/>
        <v>0.44921023100324259</v>
      </c>
      <c r="G26" s="25">
        <f t="shared" si="16"/>
        <v>0.2273547307438655</v>
      </c>
      <c r="H26" s="25">
        <f t="shared" si="17"/>
        <v>22.735473074386551</v>
      </c>
    </row>
    <row r="27" spans="1:20">
      <c r="A27" s="23">
        <v>5</v>
      </c>
      <c r="B27" s="24">
        <f t="shared" si="12"/>
        <v>118</v>
      </c>
      <c r="C27" s="24">
        <f t="shared" si="13"/>
        <v>124</v>
      </c>
      <c r="D27" s="23">
        <f t="shared" si="14"/>
        <v>28</v>
      </c>
      <c r="E27" s="25">
        <f t="shared" si="15"/>
        <v>0.44921023100324259</v>
      </c>
      <c r="F27" s="25">
        <f t="shared" si="15"/>
        <v>0.69519414390701373</v>
      </c>
      <c r="G27" s="25">
        <f t="shared" si="16"/>
        <v>0.24598391290377114</v>
      </c>
      <c r="H27" s="25">
        <f t="shared" si="17"/>
        <v>24.598391290377116</v>
      </c>
    </row>
    <row r="28" spans="1:20">
      <c r="A28" s="23">
        <v>6</v>
      </c>
      <c r="B28" s="24">
        <f t="shared" si="12"/>
        <v>124</v>
      </c>
      <c r="C28" s="24">
        <f t="shared" si="13"/>
        <v>130</v>
      </c>
      <c r="D28" s="23">
        <f t="shared" si="14"/>
        <v>19</v>
      </c>
      <c r="E28" s="25">
        <f t="shared" si="15"/>
        <v>0.69519414390701373</v>
      </c>
      <c r="F28" s="25">
        <f t="shared" si="15"/>
        <v>0.87470397465715788</v>
      </c>
      <c r="G28" s="25">
        <f t="shared" si="16"/>
        <v>0.17950983075014415</v>
      </c>
      <c r="H28" s="25">
        <f t="shared" si="17"/>
        <v>17.950983075014413</v>
      </c>
    </row>
    <row r="29" spans="1:20">
      <c r="A29" s="23">
        <v>7</v>
      </c>
      <c r="B29" s="24">
        <f t="shared" si="12"/>
        <v>130</v>
      </c>
      <c r="C29" s="24">
        <f t="shared" si="13"/>
        <v>136</v>
      </c>
      <c r="D29" s="23">
        <f t="shared" si="14"/>
        <v>10</v>
      </c>
      <c r="E29" s="25">
        <f t="shared" si="15"/>
        <v>0.87470397465715788</v>
      </c>
      <c r="F29" s="25">
        <f t="shared" si="15"/>
        <v>0.96304719461977917</v>
      </c>
      <c r="G29" s="25">
        <f t="shared" si="16"/>
        <v>8.8343219962621289E-2</v>
      </c>
      <c r="H29" s="25">
        <f t="shared" si="17"/>
        <v>8.8343219962621298</v>
      </c>
    </row>
    <row r="30" spans="1:20">
      <c r="A30" s="23">
        <v>8</v>
      </c>
      <c r="B30" s="24">
        <f t="shared" si="12"/>
        <v>136</v>
      </c>
      <c r="C30" s="24">
        <f t="shared" si="13"/>
        <v>142</v>
      </c>
      <c r="D30" s="23">
        <f t="shared" si="14"/>
        <v>2</v>
      </c>
      <c r="E30" s="25">
        <f t="shared" si="15"/>
        <v>0.96304719461977917</v>
      </c>
      <c r="F30" s="25">
        <f t="shared" si="15"/>
        <v>0.9923559632026151</v>
      </c>
      <c r="G30" s="25">
        <f t="shared" si="16"/>
        <v>2.9308768582835931E-2</v>
      </c>
      <c r="H30" s="25">
        <f t="shared" si="17"/>
        <v>2.9308768582835931</v>
      </c>
    </row>
    <row r="31" spans="1:20">
      <c r="G31" s="27">
        <f>SUM(G23:G30)</f>
        <v>0.98868359834531083</v>
      </c>
      <c r="H31" s="27">
        <f>SUM(H23:H30)</f>
        <v>98.868359834531105</v>
      </c>
    </row>
    <row r="33" spans="1:7" ht="15.6">
      <c r="A33" t="s">
        <v>37</v>
      </c>
    </row>
    <row r="34" spans="1:7">
      <c r="A34" s="71" t="s">
        <v>27</v>
      </c>
      <c r="B34" s="73" t="s">
        <v>28</v>
      </c>
      <c r="C34" s="73"/>
      <c r="D34" s="69" t="s">
        <v>29</v>
      </c>
      <c r="E34" s="69" t="s">
        <v>32</v>
      </c>
      <c r="F34" s="69" t="s">
        <v>33</v>
      </c>
      <c r="G34" s="69" t="s">
        <v>38</v>
      </c>
    </row>
    <row r="35" spans="1:7" ht="16.2" thickBot="1">
      <c r="A35" s="72"/>
      <c r="B35" s="22" t="s">
        <v>35</v>
      </c>
      <c r="C35" s="22" t="s">
        <v>36</v>
      </c>
      <c r="D35" s="70"/>
      <c r="E35" s="70"/>
      <c r="F35" s="70"/>
      <c r="G35" s="70"/>
    </row>
    <row r="36" spans="1:7" ht="15" thickTop="1">
      <c r="A36" s="23">
        <v>1</v>
      </c>
      <c r="B36" s="24">
        <f>B23</f>
        <v>94</v>
      </c>
      <c r="C36" s="24">
        <f>C24</f>
        <v>106</v>
      </c>
      <c r="D36" s="23">
        <f>D23+D24</f>
        <v>10</v>
      </c>
      <c r="E36" s="25">
        <f>G23+G24</f>
        <v>7.6453352876738725E-2</v>
      </c>
      <c r="F36" s="25">
        <f>E36*$B$15*$B$15/$H$31</f>
        <v>7.7328432477987121</v>
      </c>
      <c r="G36" s="63">
        <f>(D36-F36)^2/F36</f>
        <v>0.66469726261619</v>
      </c>
    </row>
    <row r="37" spans="1:7">
      <c r="A37" s="23">
        <v>2</v>
      </c>
      <c r="B37" s="24">
        <f>B25</f>
        <v>106</v>
      </c>
      <c r="C37" s="24">
        <f>C25</f>
        <v>112</v>
      </c>
      <c r="D37" s="23">
        <f>D25</f>
        <v>11</v>
      </c>
      <c r="E37" s="26">
        <f>G25</f>
        <v>0.14172978252533414</v>
      </c>
      <c r="F37" s="25">
        <f t="shared" ref="F37:F41" si="18">E37*$B$15*$B$15/$H$31</f>
        <v>14.335201146508057</v>
      </c>
      <c r="G37" s="6">
        <f t="shared" ref="G37:G41" si="19">(D37-F37)^2/F37</f>
        <v>0.77596167462067811</v>
      </c>
    </row>
    <row r="38" spans="1:7">
      <c r="A38" s="23">
        <v>3</v>
      </c>
      <c r="B38" s="24">
        <f t="shared" ref="B38:D40" si="20">B26</f>
        <v>112</v>
      </c>
      <c r="C38" s="24">
        <f t="shared" si="20"/>
        <v>118</v>
      </c>
      <c r="D38" s="23">
        <f t="shared" si="20"/>
        <v>20</v>
      </c>
      <c r="E38" s="26">
        <f t="shared" ref="E38:E40" si="21">G26</f>
        <v>0.2273547307438655</v>
      </c>
      <c r="F38" s="25">
        <f t="shared" si="18"/>
        <v>22.995701670825007</v>
      </c>
      <c r="G38" s="6">
        <f t="shared" si="19"/>
        <v>0.39025678055170959</v>
      </c>
    </row>
    <row r="39" spans="1:7">
      <c r="A39" s="23">
        <v>4</v>
      </c>
      <c r="B39" s="24">
        <f t="shared" si="20"/>
        <v>118</v>
      </c>
      <c r="C39" s="24">
        <f t="shared" si="20"/>
        <v>124</v>
      </c>
      <c r="D39" s="23">
        <f t="shared" si="20"/>
        <v>28</v>
      </c>
      <c r="E39" s="26">
        <f t="shared" si="21"/>
        <v>0.24598391290377114</v>
      </c>
      <c r="F39" s="25">
        <f t="shared" si="18"/>
        <v>24.87994271528898</v>
      </c>
      <c r="G39" s="6">
        <f t="shared" si="19"/>
        <v>0.3912692875251757</v>
      </c>
    </row>
    <row r="40" spans="1:7">
      <c r="A40" s="23">
        <v>5</v>
      </c>
      <c r="B40" s="24">
        <f t="shared" si="20"/>
        <v>124</v>
      </c>
      <c r="C40" s="24">
        <f t="shared" si="20"/>
        <v>130</v>
      </c>
      <c r="D40" s="23">
        <f t="shared" si="20"/>
        <v>19</v>
      </c>
      <c r="E40" s="26">
        <f t="shared" si="21"/>
        <v>0.17950983075014415</v>
      </c>
      <c r="F40" s="25">
        <f t="shared" si="18"/>
        <v>18.156448741597096</v>
      </c>
      <c r="G40" s="6">
        <f t="shared" si="19"/>
        <v>3.9191514578667028E-2</v>
      </c>
    </row>
    <row r="41" spans="1:7">
      <c r="A41" s="23">
        <v>6</v>
      </c>
      <c r="B41" s="24">
        <f>B29</f>
        <v>130</v>
      </c>
      <c r="C41" s="24">
        <f>C30</f>
        <v>142</v>
      </c>
      <c r="D41" s="23">
        <f>D29+D30</f>
        <v>12</v>
      </c>
      <c r="E41" s="26">
        <f>G29+G30</f>
        <v>0.11765198854545722</v>
      </c>
      <c r="F41" s="25">
        <f t="shared" si="18"/>
        <v>11.899862477982129</v>
      </c>
      <c r="G41" s="6">
        <f t="shared" si="19"/>
        <v>8.4265875630353882E-4</v>
      </c>
    </row>
    <row r="42" spans="1:7">
      <c r="F42" s="27">
        <f>SUM(F36:F41)</f>
        <v>99.999999999999986</v>
      </c>
    </row>
    <row r="43" spans="1:7" ht="16.8">
      <c r="A43" s="13" t="s">
        <v>39</v>
      </c>
      <c r="B43" s="28">
        <f>SUM(G36:G41)</f>
        <v>2.2622191786487242</v>
      </c>
      <c r="C43" t="s">
        <v>40</v>
      </c>
    </row>
    <row r="44" spans="1:7">
      <c r="A44" s="13"/>
    </row>
    <row r="45" spans="1:7">
      <c r="A45" s="13" t="s">
        <v>41</v>
      </c>
      <c r="B45" s="29">
        <v>6</v>
      </c>
      <c r="C45" t="s">
        <v>42</v>
      </c>
    </row>
    <row r="46" spans="1:7">
      <c r="A46" s="13" t="s">
        <v>43</v>
      </c>
      <c r="B46" s="29">
        <v>2</v>
      </c>
      <c r="C46" t="s">
        <v>44</v>
      </c>
    </row>
    <row r="47" spans="1:7">
      <c r="A47" s="20" t="s">
        <v>23</v>
      </c>
      <c r="B47" s="29">
        <v>0.05</v>
      </c>
      <c r="C47" t="s">
        <v>24</v>
      </c>
    </row>
    <row r="48" spans="1:7">
      <c r="A48" s="20" t="s">
        <v>45</v>
      </c>
      <c r="B48" s="29">
        <f>B45-B46-1</f>
        <v>3</v>
      </c>
      <c r="C48" s="29" t="s">
        <v>46</v>
      </c>
    </row>
    <row r="49" spans="1:2" ht="16.8">
      <c r="A49" s="13" t="s">
        <v>47</v>
      </c>
      <c r="B49" s="30">
        <f>CHIINV(B47,B48)</f>
        <v>7.8147279032511792</v>
      </c>
    </row>
    <row r="51" spans="1:2" ht="16.8">
      <c r="B51" s="20" t="s">
        <v>48</v>
      </c>
    </row>
  </sheetData>
  <mergeCells count="26">
    <mergeCell ref="C3:C4"/>
    <mergeCell ref="D3:D4"/>
    <mergeCell ref="E3:E4"/>
    <mergeCell ref="F3:F4"/>
    <mergeCell ref="Q3:R3"/>
    <mergeCell ref="G34:G35"/>
    <mergeCell ref="Z3:Z4"/>
    <mergeCell ref="A21:A22"/>
    <mergeCell ref="B21:C21"/>
    <mergeCell ref="D21:D22"/>
    <mergeCell ref="E21:E22"/>
    <mergeCell ref="F21:F22"/>
    <mergeCell ref="G21:G22"/>
    <mergeCell ref="H21:H22"/>
    <mergeCell ref="S3:S4"/>
    <mergeCell ref="T3:T4"/>
    <mergeCell ref="U3:U4"/>
    <mergeCell ref="V3:V4"/>
    <mergeCell ref="W3:W4"/>
    <mergeCell ref="Y3:Y4"/>
    <mergeCell ref="A3:B3"/>
    <mergeCell ref="A34:A35"/>
    <mergeCell ref="B34:C34"/>
    <mergeCell ref="D34:D35"/>
    <mergeCell ref="E34:E35"/>
    <mergeCell ref="F34:F35"/>
  </mergeCells>
  <conditionalFormatting sqref="B51">
    <cfRule type="expression" dxfId="5" priority="3" stopIfTrue="1">
      <formula>$B$43&gt;=$B$49</formula>
    </cfRule>
    <cfRule type="expression" dxfId="4" priority="4" stopIfTrue="1">
      <formula>$B$43&lt;$B$49</formula>
    </cfRule>
  </conditionalFormatting>
  <conditionalFormatting sqref="S21">
    <cfRule type="expression" dxfId="3" priority="1" stopIfTrue="1">
      <formula>$S$16&gt;=$S$18</formula>
    </cfRule>
    <cfRule type="expression" dxfId="2" priority="2" stopIfTrue="1">
      <formula>$S$16&lt;$S$18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23</xdr:col>
                <xdr:colOff>365760</xdr:colOff>
                <xdr:row>0</xdr:row>
                <xdr:rowOff>1188720</xdr:rowOff>
              </from>
              <to>
                <xdr:col>25</xdr:col>
                <xdr:colOff>419100</xdr:colOff>
                <xdr:row>1</xdr:row>
                <xdr:rowOff>114300</xdr:rowOff>
              </to>
            </anchor>
          </objectPr>
        </oleObject>
      </mc:Choice>
      <mc:Fallback>
        <oleObject progId="Equation.3" shapeId="1025" r:id="rId3"/>
      </mc:Fallback>
    </mc:AlternateContent>
    <mc:AlternateContent xmlns:mc="http://schemas.openxmlformats.org/markup-compatibility/2006">
      <mc:Choice Requires="x14">
        <oleObject progId="Equation.DSMT4" shapeId="1026" r:id="rId5">
          <objectPr defaultSize="0" autoPict="0" r:id="rId6">
            <anchor moveWithCells="1" sizeWithCells="1">
              <from>
                <xdr:col>19</xdr:col>
                <xdr:colOff>137160</xdr:colOff>
                <xdr:row>15</xdr:row>
                <xdr:rowOff>7620</xdr:rowOff>
              </from>
              <to>
                <xdr:col>20</xdr:col>
                <xdr:colOff>182880</xdr:colOff>
                <xdr:row>16</xdr:row>
                <xdr:rowOff>76200</xdr:rowOff>
              </to>
            </anchor>
          </objectPr>
        </oleObject>
      </mc:Choice>
      <mc:Fallback>
        <oleObject progId="Equation.DSMT4" shapeId="1026" r:id="rId5"/>
      </mc:Fallback>
    </mc:AlternateContent>
    <mc:AlternateContent xmlns:mc="http://schemas.openxmlformats.org/markup-compatibility/2006">
      <mc:Choice Requires="x14">
        <oleObject progId="Equation.DSMT4" shapeId="1027" r:id="rId7">
          <objectPr defaultSize="0" autoPict="0" r:id="rId8">
            <anchor moveWithCells="1" sizeWithCells="1">
              <from>
                <xdr:col>19</xdr:col>
                <xdr:colOff>137160</xdr:colOff>
                <xdr:row>14</xdr:row>
                <xdr:rowOff>7620</xdr:rowOff>
              </from>
              <to>
                <xdr:col>21</xdr:col>
                <xdr:colOff>419100</xdr:colOff>
                <xdr:row>15</xdr:row>
                <xdr:rowOff>30480</xdr:rowOff>
              </to>
            </anchor>
          </objectPr>
        </oleObject>
      </mc:Choice>
      <mc:Fallback>
        <oleObject progId="Equation.DSMT4" shapeId="1027" r:id="rId7"/>
      </mc:Fallback>
    </mc:AlternateContent>
    <mc:AlternateContent xmlns:mc="http://schemas.openxmlformats.org/markup-compatibility/2006">
      <mc:Choice Requires="x14">
        <oleObject progId="Equation.DSMT4" shapeId="1028" r:id="rId9">
          <objectPr defaultSize="0" autoPict="0" r:id="rId10">
            <anchor moveWithCells="1" sizeWithCells="1">
              <from>
                <xdr:col>22</xdr:col>
                <xdr:colOff>30480</xdr:colOff>
                <xdr:row>18</xdr:row>
                <xdr:rowOff>7620</xdr:rowOff>
              </from>
              <to>
                <xdr:col>23</xdr:col>
                <xdr:colOff>38100</xdr:colOff>
                <xdr:row>19</xdr:row>
                <xdr:rowOff>45720</xdr:rowOff>
              </to>
            </anchor>
          </objectPr>
        </oleObject>
      </mc:Choice>
      <mc:Fallback>
        <oleObject progId="Equation.DSMT4" shapeId="1028" r:id="rId9"/>
      </mc:Fallback>
    </mc:AlternateContent>
    <mc:AlternateContent xmlns:mc="http://schemas.openxmlformats.org/markup-compatibility/2006">
      <mc:Choice Requires="x14">
        <oleObject progId="Equation.DSMT4" shapeId="1029" r:id="rId11">
          <objectPr defaultSize="0" autoPict="0" r:id="rId12">
            <anchor moveWithCells="1" sizeWithCells="1">
              <from>
                <xdr:col>19</xdr:col>
                <xdr:colOff>99060</xdr:colOff>
                <xdr:row>18</xdr:row>
                <xdr:rowOff>7620</xdr:rowOff>
              </from>
              <to>
                <xdr:col>19</xdr:col>
                <xdr:colOff>525780</xdr:colOff>
                <xdr:row>19</xdr:row>
                <xdr:rowOff>38100</xdr:rowOff>
              </to>
            </anchor>
          </objectPr>
        </oleObject>
      </mc:Choice>
      <mc:Fallback>
        <oleObject progId="Equation.DSMT4" shapeId="1029" r:id="rId11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BFF1-C26B-4C5A-9D84-FD91DFA62B22}">
  <sheetPr>
    <tabColor rgb="FF00B050"/>
  </sheetPr>
  <dimension ref="A17:K49"/>
  <sheetViews>
    <sheetView topLeftCell="A28" workbookViewId="0">
      <selection activeCell="H48" sqref="H48"/>
    </sheetView>
  </sheetViews>
  <sheetFormatPr defaultRowHeight="14.4"/>
  <cols>
    <col min="1" max="1" width="16.88671875" customWidth="1"/>
  </cols>
  <sheetData>
    <row r="17" spans="1:11" ht="16.2" thickBot="1">
      <c r="A17" s="66" t="s">
        <v>60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</row>
    <row r="18" spans="1:11" ht="18.600000000000001" thickBot="1">
      <c r="A18" s="43" t="s">
        <v>61</v>
      </c>
      <c r="B18" s="44">
        <v>0</v>
      </c>
      <c r="C18" s="45">
        <v>1</v>
      </c>
      <c r="D18" s="45">
        <v>2</v>
      </c>
      <c r="E18" s="45">
        <v>3</v>
      </c>
      <c r="F18" s="45">
        <v>4</v>
      </c>
      <c r="G18" s="45">
        <v>5</v>
      </c>
      <c r="H18" s="45">
        <v>6</v>
      </c>
      <c r="I18" s="45">
        <v>7</v>
      </c>
      <c r="J18" s="45">
        <v>8</v>
      </c>
      <c r="K18" s="45" t="s">
        <v>80</v>
      </c>
    </row>
    <row r="19" spans="1:11" ht="18.600000000000001" thickBot="1">
      <c r="A19" s="43" t="s">
        <v>62</v>
      </c>
      <c r="B19" s="46">
        <v>15</v>
      </c>
      <c r="C19" s="47">
        <v>71</v>
      </c>
      <c r="D19" s="47">
        <v>75</v>
      </c>
      <c r="E19" s="47">
        <v>68</v>
      </c>
      <c r="F19" s="47">
        <v>39</v>
      </c>
      <c r="G19" s="47">
        <v>17</v>
      </c>
      <c r="H19" s="47">
        <v>10</v>
      </c>
      <c r="I19" s="47">
        <v>4</v>
      </c>
      <c r="J19" s="47">
        <v>1</v>
      </c>
      <c r="K19" s="47">
        <v>300</v>
      </c>
    </row>
    <row r="21" spans="1:11" ht="15.6">
      <c r="A21" s="50" t="s">
        <v>16</v>
      </c>
      <c r="B21">
        <v>300</v>
      </c>
      <c r="E21" s="51" t="s">
        <v>17</v>
      </c>
      <c r="F21" t="s">
        <v>81</v>
      </c>
    </row>
    <row r="22" spans="1:11">
      <c r="A22" s="50" t="s">
        <v>64</v>
      </c>
      <c r="B22">
        <f>C18-B18</f>
        <v>1</v>
      </c>
    </row>
    <row r="23" spans="1:11">
      <c r="A23" s="52" t="s">
        <v>65</v>
      </c>
      <c r="B23" s="53">
        <f>SUMPRODUCT(B18:K18,B19:K19)/B21</f>
        <v>2.54</v>
      </c>
    </row>
    <row r="24" spans="1:11">
      <c r="A24" s="34" t="s">
        <v>51</v>
      </c>
      <c r="B24" s="27">
        <f>B23</f>
        <v>2.54</v>
      </c>
    </row>
    <row r="25" spans="1:11">
      <c r="B25" s="27"/>
    </row>
    <row r="27" spans="1:11" ht="18">
      <c r="A27" s="55" t="s">
        <v>61</v>
      </c>
      <c r="B27" s="5">
        <f>B18</f>
        <v>0</v>
      </c>
      <c r="C27" s="5">
        <f t="shared" ref="C27:J27" si="0">C18</f>
        <v>1</v>
      </c>
      <c r="D27" s="5">
        <f t="shared" si="0"/>
        <v>2</v>
      </c>
      <c r="E27" s="5">
        <f t="shared" si="0"/>
        <v>3</v>
      </c>
      <c r="F27" s="5">
        <f t="shared" si="0"/>
        <v>4</v>
      </c>
      <c r="G27" s="5">
        <f t="shared" si="0"/>
        <v>5</v>
      </c>
      <c r="H27" s="5">
        <f t="shared" si="0"/>
        <v>6</v>
      </c>
      <c r="I27" s="5">
        <f t="shared" si="0"/>
        <v>7</v>
      </c>
      <c r="J27" s="5">
        <f t="shared" si="0"/>
        <v>8</v>
      </c>
    </row>
    <row r="28" spans="1:11" ht="18">
      <c r="A28" s="55" t="s">
        <v>62</v>
      </c>
      <c r="B28" s="5">
        <f>B19</f>
        <v>15</v>
      </c>
      <c r="C28" s="5">
        <f t="shared" ref="C28:J28" si="1">C19</f>
        <v>71</v>
      </c>
      <c r="D28" s="5">
        <f t="shared" si="1"/>
        <v>75</v>
      </c>
      <c r="E28" s="5">
        <f t="shared" si="1"/>
        <v>68</v>
      </c>
      <c r="F28" s="5">
        <f t="shared" si="1"/>
        <v>39</v>
      </c>
      <c r="G28" s="5">
        <f t="shared" si="1"/>
        <v>17</v>
      </c>
      <c r="H28" s="5">
        <f t="shared" si="1"/>
        <v>10</v>
      </c>
      <c r="I28" s="5">
        <f t="shared" si="1"/>
        <v>4</v>
      </c>
      <c r="J28" s="5">
        <f t="shared" si="1"/>
        <v>1</v>
      </c>
    </row>
    <row r="29" spans="1:11" ht="18">
      <c r="A29" s="64" t="s">
        <v>82</v>
      </c>
      <c r="B29" s="10">
        <f>POISSON(B27,$B$24,FALSE)</f>
        <v>7.8866399790674946E-2</v>
      </c>
      <c r="C29" s="10">
        <f t="shared" ref="C29:J29" si="2">POISSON(C27,$B$24,FALSE)</f>
        <v>0.20032065546831435</v>
      </c>
      <c r="D29" s="10">
        <f t="shared" si="2"/>
        <v>0.25440723244475927</v>
      </c>
      <c r="E29" s="10">
        <f t="shared" si="2"/>
        <v>0.2153981234698962</v>
      </c>
      <c r="F29" s="10">
        <f t="shared" si="2"/>
        <v>0.13677780840338413</v>
      </c>
      <c r="G29" s="10">
        <f t="shared" si="2"/>
        <v>6.9483126668919093E-2</v>
      </c>
      <c r="H29" s="10">
        <f t="shared" si="2"/>
        <v>2.9414523623175766E-2</v>
      </c>
      <c r="I29" s="10">
        <f t="shared" si="2"/>
        <v>1.0673270000409496E-2</v>
      </c>
      <c r="J29" s="10">
        <f t="shared" si="2"/>
        <v>3.3887632251300127E-3</v>
      </c>
    </row>
    <row r="30" spans="1:11" ht="19.8">
      <c r="A30" s="56" t="s">
        <v>71</v>
      </c>
      <c r="B30" s="65">
        <f>B29*$B$21</f>
        <v>23.659919937202485</v>
      </c>
      <c r="C30" s="65">
        <f t="shared" ref="C30:J30" si="3">C29*$B$21</f>
        <v>60.096196640494306</v>
      </c>
      <c r="D30" s="65">
        <f t="shared" si="3"/>
        <v>76.322169733427785</v>
      </c>
      <c r="E30" s="65">
        <f t="shared" si="3"/>
        <v>64.619437040968862</v>
      </c>
      <c r="F30" s="65">
        <f t="shared" si="3"/>
        <v>41.033342521015243</v>
      </c>
      <c r="G30" s="65">
        <f t="shared" si="3"/>
        <v>20.844938000675729</v>
      </c>
      <c r="H30" s="65">
        <f t="shared" si="3"/>
        <v>8.8243570869527304</v>
      </c>
      <c r="I30" s="65">
        <f t="shared" si="3"/>
        <v>3.2019810001228488</v>
      </c>
      <c r="J30" s="65">
        <f t="shared" si="3"/>
        <v>1.0166289675390039</v>
      </c>
      <c r="K30" s="27">
        <f>SUM(B30:J30)</f>
        <v>299.61897092839894</v>
      </c>
    </row>
    <row r="31" spans="1:11" ht="19.8">
      <c r="A31" s="59" t="s">
        <v>72</v>
      </c>
      <c r="B31" s="26">
        <f t="shared" ref="B31:J31" si="4">B30*$B$21/$K$30</f>
        <v>23.690008543741296</v>
      </c>
      <c r="C31" s="26">
        <f t="shared" si="4"/>
        <v>60.172621701102884</v>
      </c>
      <c r="D31" s="26">
        <f t="shared" si="4"/>
        <v>76.41922956040068</v>
      </c>
      <c r="E31" s="26">
        <f t="shared" si="4"/>
        <v>64.701614361139249</v>
      </c>
      <c r="F31" s="26">
        <f t="shared" si="4"/>
        <v>41.085525119323435</v>
      </c>
      <c r="G31" s="26">
        <f t="shared" si="4"/>
        <v>20.871446760616291</v>
      </c>
      <c r="H31" s="26">
        <f t="shared" si="4"/>
        <v>8.8355791286609016</v>
      </c>
      <c r="I31" s="26">
        <f t="shared" si="4"/>
        <v>3.2060529981140995</v>
      </c>
      <c r="J31" s="26">
        <f t="shared" si="4"/>
        <v>1.017921826901226</v>
      </c>
      <c r="K31" s="27">
        <f>SUM(B31:J31)</f>
        <v>300.00000000000006</v>
      </c>
    </row>
    <row r="35" spans="1:9" ht="15.6">
      <c r="A35" t="s">
        <v>73</v>
      </c>
    </row>
    <row r="36" spans="1:9" ht="18">
      <c r="A36" s="55" t="s">
        <v>62</v>
      </c>
      <c r="B36" s="5">
        <f>B28:I28</f>
        <v>15</v>
      </c>
      <c r="C36" s="5">
        <f t="shared" ref="C36:H36" si="5">C28</f>
        <v>71</v>
      </c>
      <c r="D36" s="5">
        <f t="shared" si="5"/>
        <v>75</v>
      </c>
      <c r="E36" s="5">
        <f t="shared" si="5"/>
        <v>68</v>
      </c>
      <c r="F36" s="5">
        <f t="shared" si="5"/>
        <v>39</v>
      </c>
      <c r="G36" s="5">
        <f t="shared" si="5"/>
        <v>17</v>
      </c>
      <c r="H36" s="5">
        <f t="shared" si="5"/>
        <v>10</v>
      </c>
      <c r="I36" s="5">
        <f>I28+J28</f>
        <v>5</v>
      </c>
    </row>
    <row r="37" spans="1:9" ht="19.8">
      <c r="A37" s="59" t="s">
        <v>72</v>
      </c>
      <c r="B37" s="7">
        <f>B31</f>
        <v>23.690008543741296</v>
      </c>
      <c r="C37" s="7">
        <f t="shared" ref="C37:H37" si="6">C31</f>
        <v>60.172621701102884</v>
      </c>
      <c r="D37" s="7">
        <f t="shared" si="6"/>
        <v>76.41922956040068</v>
      </c>
      <c r="E37" s="7">
        <f t="shared" si="6"/>
        <v>64.701614361139249</v>
      </c>
      <c r="F37" s="7">
        <f t="shared" si="6"/>
        <v>41.085525119323435</v>
      </c>
      <c r="G37" s="7">
        <f t="shared" si="6"/>
        <v>20.871446760616291</v>
      </c>
      <c r="H37" s="7">
        <f t="shared" si="6"/>
        <v>8.8355791286609016</v>
      </c>
      <c r="I37" s="7">
        <f>I31+J31</f>
        <v>4.2239748250153255</v>
      </c>
    </row>
    <row r="38" spans="1:9" ht="18.600000000000001">
      <c r="A38" s="60" t="s">
        <v>56</v>
      </c>
      <c r="B38" s="26">
        <f>(B36-B37)^2/B37</f>
        <v>3.1876834637211426</v>
      </c>
      <c r="C38" s="26">
        <f t="shared" ref="C38:I38" si="7">(C36-C37)^2/C37</f>
        <v>1.9482634712138447</v>
      </c>
      <c r="D38" s="26">
        <f t="shared" si="7"/>
        <v>2.6357404500173646E-2</v>
      </c>
      <c r="E38" s="26">
        <f t="shared" si="7"/>
        <v>0.16814646636046132</v>
      </c>
      <c r="F38" s="26">
        <f t="shared" si="7"/>
        <v>0.10586246642089046</v>
      </c>
      <c r="G38" s="26">
        <f t="shared" si="7"/>
        <v>0.71811504933948345</v>
      </c>
      <c r="H38" s="26">
        <f t="shared" si="7"/>
        <v>0.15345637743335996</v>
      </c>
      <c r="I38" s="26">
        <f t="shared" si="7"/>
        <v>0.14257070582986009</v>
      </c>
    </row>
    <row r="41" spans="1:9" ht="16.8">
      <c r="A41" s="13" t="s">
        <v>39</v>
      </c>
      <c r="B41" s="28">
        <f>SUM(B38:I38)</f>
        <v>6.4504554048192171</v>
      </c>
      <c r="C41" t="s">
        <v>40</v>
      </c>
    </row>
    <row r="42" spans="1:9">
      <c r="A42" s="13"/>
    </row>
    <row r="43" spans="1:9">
      <c r="A43" s="13" t="s">
        <v>41</v>
      </c>
      <c r="B43" s="29">
        <v>8</v>
      </c>
      <c r="C43" t="s">
        <v>42</v>
      </c>
    </row>
    <row r="44" spans="1:9">
      <c r="A44" s="13" t="s">
        <v>43</v>
      </c>
      <c r="B44" s="29">
        <v>1</v>
      </c>
      <c r="C44" t="s">
        <v>44</v>
      </c>
    </row>
    <row r="45" spans="1:9">
      <c r="A45" s="20" t="s">
        <v>23</v>
      </c>
      <c r="B45" s="29">
        <v>0.05</v>
      </c>
      <c r="C45" t="s">
        <v>24</v>
      </c>
    </row>
    <row r="46" spans="1:9">
      <c r="A46" s="20" t="s">
        <v>45</v>
      </c>
      <c r="B46" s="29">
        <f>B43-B44-1</f>
        <v>6</v>
      </c>
      <c r="C46" s="29" t="s">
        <v>46</v>
      </c>
    </row>
    <row r="47" spans="1:9" ht="16.8">
      <c r="A47" s="13" t="s">
        <v>47</v>
      </c>
      <c r="B47" s="30">
        <f>CHIINV(B45,B46)</f>
        <v>12.591587243743978</v>
      </c>
    </row>
    <row r="49" spans="2:2" ht="16.8">
      <c r="B49" s="20" t="s">
        <v>48</v>
      </c>
    </row>
  </sheetData>
  <mergeCells count="1">
    <mergeCell ref="A17:K17"/>
  </mergeCells>
  <conditionalFormatting sqref="B49">
    <cfRule type="expression" dxfId="1" priority="1" stopIfTrue="1">
      <formula>$B$41&gt;=$B$47</formula>
    </cfRule>
    <cfRule type="expression" dxfId="0" priority="2" stopIfTrue="1">
      <formula>$B$41&lt;$B$47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 4</vt:lpstr>
      <vt:lpstr>Пример 5</vt:lpstr>
      <vt:lpstr>Пример 6</vt:lpstr>
      <vt:lpstr>Пример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</dc:creator>
  <cp:lastModifiedBy>Admin</cp:lastModifiedBy>
  <dcterms:created xsi:type="dcterms:W3CDTF">2026-04-24T09:11:56Z</dcterms:created>
  <dcterms:modified xsi:type="dcterms:W3CDTF">2026-04-29T12:45:24Z</dcterms:modified>
</cp:coreProperties>
</file>