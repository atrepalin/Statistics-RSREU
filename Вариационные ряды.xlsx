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2.xml" ContentType="application/vnd.openxmlformats-officedocument.drawing+xml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drawings/drawing4.xml" ContentType="application/vnd.openxmlformats-officedocument.drawing+xml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FA8518-BB97-4FE2-8B40-6ED031905032}" xr6:coauthVersionLast="47" xr6:coauthVersionMax="47" xr10:uidLastSave="{00000000-0000-0000-0000-000000000000}"/>
  <bookViews>
    <workbookView xWindow="-108" yWindow="-108" windowWidth="23256" windowHeight="12576" xr2:uid="{DDE36568-F6D5-4506-826E-7D7FDD7F7E69}"/>
  </bookViews>
  <sheets>
    <sheet name="Задача 1" sheetId="1" r:id="rId1"/>
    <sheet name="Задача 2" sheetId="2" r:id="rId2"/>
    <sheet name="Задача 3" sheetId="3" r:id="rId3"/>
    <sheet name="Задача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4" l="1"/>
  <c r="J15" i="4" s="1"/>
  <c r="E6" i="4"/>
  <c r="E5" i="4"/>
  <c r="B9" i="4"/>
  <c r="H9" i="3"/>
  <c r="B10" i="2"/>
  <c r="E9" i="3"/>
  <c r="E11" i="3" s="1"/>
  <c r="E7" i="3"/>
  <c r="H8" i="3" s="1"/>
  <c r="E7" i="2"/>
  <c r="B11" i="1"/>
  <c r="C24" i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E8" i="2"/>
  <c r="B7" i="2"/>
  <c r="E9" i="2" s="1"/>
  <c r="L24" i="1"/>
  <c r="D24" i="1"/>
  <c r="E24" i="1"/>
  <c r="F24" i="1"/>
  <c r="G24" i="1"/>
  <c r="H24" i="1"/>
  <c r="I24" i="1"/>
  <c r="J24" i="1"/>
  <c r="K24" i="1"/>
  <c r="B24" i="1"/>
  <c r="E8" i="3"/>
  <c r="E13" i="3" s="1"/>
  <c r="F17" i="3" s="1"/>
  <c r="B8" i="2"/>
  <c r="B9" i="2"/>
  <c r="B11" i="2" s="1"/>
  <c r="C15" i="4"/>
  <c r="D15" i="4" s="1"/>
  <c r="C16" i="4" s="1"/>
  <c r="E15" i="4" a="1"/>
  <c r="E15" i="4" s="1"/>
  <c r="F15" i="4" s="1"/>
  <c r="B5" i="4"/>
  <c r="E7" i="4" s="1"/>
  <c r="C17" i="2"/>
  <c r="D4" i="1" l="1"/>
  <c r="L4" i="1"/>
  <c r="E4" i="1"/>
  <c r="B4" i="1"/>
  <c r="F4" i="1"/>
  <c r="G4" i="1"/>
  <c r="H4" i="1"/>
  <c r="I4" i="1"/>
  <c r="J4" i="1"/>
  <c r="C4" i="1"/>
  <c r="K4" i="1"/>
  <c r="F16" i="4"/>
  <c r="L17" i="3"/>
  <c r="M17" i="3" s="1"/>
  <c r="H7" i="3"/>
  <c r="D17" i="2"/>
  <c r="E17" i="2" s="1"/>
  <c r="G17" i="3"/>
  <c r="F18" i="3" s="1"/>
  <c r="D17" i="3"/>
  <c r="D22" i="2"/>
  <c r="D16" i="4"/>
  <c r="E25" i="4"/>
  <c r="E23" i="4"/>
  <c r="E22" i="4"/>
  <c r="E24" i="4"/>
  <c r="E21" i="4"/>
  <c r="E20" i="4"/>
  <c r="E19" i="4"/>
  <c r="E18" i="4"/>
  <c r="E17" i="4"/>
  <c r="E16" i="4"/>
  <c r="H11" i="2" l="1"/>
  <c r="G17" i="2"/>
  <c r="F17" i="4"/>
  <c r="H10" i="4"/>
  <c r="H17" i="3"/>
  <c r="I17" i="2"/>
  <c r="H9" i="4"/>
  <c r="K7" i="4"/>
  <c r="B8" i="1"/>
  <c r="B5" i="1"/>
  <c r="B9" i="1"/>
  <c r="H8" i="4"/>
  <c r="G18" i="3"/>
  <c r="F19" i="3" s="1"/>
  <c r="K10" i="4"/>
  <c r="C17" i="4"/>
  <c r="I16" i="4"/>
  <c r="J16" i="4" s="1"/>
  <c r="H17" i="2"/>
  <c r="F17" i="2"/>
  <c r="D17" i="4"/>
  <c r="C18" i="4" s="1"/>
  <c r="A17" i="4"/>
  <c r="A15" i="4"/>
  <c r="D18" i="3"/>
  <c r="H18" i="3"/>
  <c r="G19" i="3" l="1"/>
  <c r="F20" i="3" s="1"/>
  <c r="I17" i="3"/>
  <c r="J17" i="2"/>
  <c r="C5" i="1"/>
  <c r="B25" i="1"/>
  <c r="L18" i="3"/>
  <c r="M18" i="3" s="1"/>
  <c r="I17" i="4"/>
  <c r="J17" i="4" s="1"/>
  <c r="F18" i="4"/>
  <c r="K8" i="2"/>
  <c r="E12" i="2"/>
  <c r="H19" i="3"/>
  <c r="D18" i="4"/>
  <c r="C19" i="4" s="1"/>
  <c r="A16" i="4"/>
  <c r="D19" i="3"/>
  <c r="G20" i="3"/>
  <c r="F21" i="3" s="1"/>
  <c r="M4" i="1"/>
  <c r="AA4" i="1"/>
  <c r="D5" i="1" l="1"/>
  <c r="C25" i="1"/>
  <c r="K9" i="3"/>
  <c r="N7" i="3"/>
  <c r="F19" i="4"/>
  <c r="K6" i="4"/>
  <c r="I18" i="3"/>
  <c r="K5" i="4"/>
  <c r="B35" i="4" s="1"/>
  <c r="I18" i="4"/>
  <c r="J18" i="4" s="1"/>
  <c r="L19" i="3"/>
  <c r="M19" i="3" s="1"/>
  <c r="L20" i="3"/>
  <c r="M20" i="3" s="1"/>
  <c r="A18" i="4"/>
  <c r="D19" i="4"/>
  <c r="C20" i="4" s="1"/>
  <c r="A19" i="4"/>
  <c r="D20" i="3"/>
  <c r="H20" i="3"/>
  <c r="G21" i="3"/>
  <c r="F22" i="3" s="1"/>
  <c r="H10" i="3" l="1"/>
  <c r="K11" i="3"/>
  <c r="E10" i="4"/>
  <c r="B29" i="4" s="1"/>
  <c r="F20" i="4"/>
  <c r="H7" i="4"/>
  <c r="B30" i="4" s="1"/>
  <c r="L21" i="3"/>
  <c r="M21" i="3" s="1"/>
  <c r="I19" i="4"/>
  <c r="J19" i="4" s="1"/>
  <c r="I19" i="3"/>
  <c r="E5" i="1"/>
  <c r="D25" i="1"/>
  <c r="D20" i="4"/>
  <c r="C21" i="4" s="1"/>
  <c r="D21" i="3"/>
  <c r="G22" i="3"/>
  <c r="H21" i="3"/>
  <c r="A17" i="2"/>
  <c r="C18" i="2"/>
  <c r="H9" i="2" l="1"/>
  <c r="E10" i="2"/>
  <c r="K7" i="2"/>
  <c r="F21" i="4"/>
  <c r="I20" i="3"/>
  <c r="F23" i="3"/>
  <c r="N10" i="3"/>
  <c r="F5" i="1"/>
  <c r="E25" i="1"/>
  <c r="I20" i="4"/>
  <c r="J20" i="4" s="1"/>
  <c r="K10" i="3"/>
  <c r="N9" i="3"/>
  <c r="L22" i="3"/>
  <c r="M22" i="3" s="1"/>
  <c r="H22" i="3"/>
  <c r="D21" i="4"/>
  <c r="C22" i="4" s="1"/>
  <c r="A20" i="4"/>
  <c r="D22" i="3"/>
  <c r="G23" i="3"/>
  <c r="F24" i="3" s="1"/>
  <c r="D18" i="2"/>
  <c r="C19" i="2" s="1"/>
  <c r="A18" i="2"/>
  <c r="K8" i="4" l="1"/>
  <c r="G5" i="1"/>
  <c r="F25" i="1"/>
  <c r="H11" i="3"/>
  <c r="K12" i="3"/>
  <c r="E32" i="3" s="1"/>
  <c r="K9" i="4"/>
  <c r="F22" i="4"/>
  <c r="K10" i="2"/>
  <c r="I21" i="3"/>
  <c r="N8" i="3"/>
  <c r="E37" i="3" s="1"/>
  <c r="I21" i="4"/>
  <c r="J21" i="4" s="1"/>
  <c r="L23" i="3"/>
  <c r="M23" i="3" s="1"/>
  <c r="I18" i="2"/>
  <c r="A21" i="4"/>
  <c r="D22" i="4"/>
  <c r="C23" i="4" s="1"/>
  <c r="D23" i="3"/>
  <c r="H23" i="3"/>
  <c r="G24" i="3"/>
  <c r="F25" i="3" s="1"/>
  <c r="D19" i="2"/>
  <c r="C20" i="2" s="1"/>
  <c r="E18" i="2"/>
  <c r="I19" i="2" l="1"/>
  <c r="J19" i="2" s="1"/>
  <c r="L24" i="3"/>
  <c r="M24" i="3" s="1"/>
  <c r="H5" i="1"/>
  <c r="G25" i="1"/>
  <c r="F23" i="4"/>
  <c r="N12" i="3"/>
  <c r="I22" i="3"/>
  <c r="H12" i="3"/>
  <c r="E31" i="3" s="1"/>
  <c r="B36" i="4"/>
  <c r="F18" i="2"/>
  <c r="K11" i="2" s="1"/>
  <c r="K9" i="2"/>
  <c r="B32" i="2" s="1"/>
  <c r="H10" i="2"/>
  <c r="E11" i="2"/>
  <c r="B26" i="2" s="1"/>
  <c r="G18" i="2"/>
  <c r="H18" i="2" s="1"/>
  <c r="I22" i="4"/>
  <c r="J22" i="4" s="1"/>
  <c r="J18" i="2"/>
  <c r="A22" i="4"/>
  <c r="D23" i="4"/>
  <c r="C24" i="4" s="1"/>
  <c r="E26" i="4"/>
  <c r="H22" i="4" s="1"/>
  <c r="D24" i="3"/>
  <c r="H24" i="3"/>
  <c r="G25" i="3"/>
  <c r="F26" i="3" s="1"/>
  <c r="E19" i="2"/>
  <c r="A19" i="2"/>
  <c r="D20" i="2"/>
  <c r="C21" i="2" s="1"/>
  <c r="H12" i="2" l="1"/>
  <c r="G19" i="2"/>
  <c r="K12" i="2"/>
  <c r="B33" i="2" s="1"/>
  <c r="F19" i="2"/>
  <c r="L25" i="3"/>
  <c r="M25" i="3" s="1"/>
  <c r="I5" i="1"/>
  <c r="H25" i="1"/>
  <c r="H23" i="4"/>
  <c r="F24" i="4"/>
  <c r="G15" i="4"/>
  <c r="H15" i="4"/>
  <c r="G16" i="4"/>
  <c r="G17" i="4"/>
  <c r="G19" i="4"/>
  <c r="G25" i="4"/>
  <c r="G18" i="4"/>
  <c r="G21" i="4"/>
  <c r="G24" i="4"/>
  <c r="H16" i="4"/>
  <c r="G20" i="4"/>
  <c r="G22" i="4"/>
  <c r="G23" i="4"/>
  <c r="H17" i="4"/>
  <c r="H18" i="4"/>
  <c r="H19" i="4"/>
  <c r="H20" i="4"/>
  <c r="H21" i="4"/>
  <c r="A20" i="2"/>
  <c r="I24" i="4"/>
  <c r="J24" i="4" s="1"/>
  <c r="H19" i="2"/>
  <c r="I23" i="3"/>
  <c r="N11" i="3"/>
  <c r="E38" i="3" s="1"/>
  <c r="I23" i="4"/>
  <c r="J23" i="4" s="1"/>
  <c r="I20" i="2"/>
  <c r="L26" i="3"/>
  <c r="M26" i="3" s="1"/>
  <c r="B27" i="2"/>
  <c r="A23" i="4"/>
  <c r="D24" i="4"/>
  <c r="C25" i="4" s="1"/>
  <c r="D25" i="3"/>
  <c r="H25" i="3"/>
  <c r="G26" i="3"/>
  <c r="F27" i="3" s="1"/>
  <c r="E20" i="2"/>
  <c r="G20" i="2" s="1"/>
  <c r="D21" i="2"/>
  <c r="C22" i="2" s="1"/>
  <c r="I22" i="2" s="1"/>
  <c r="J22" i="2" s="1"/>
  <c r="H20" i="2" l="1"/>
  <c r="J5" i="1"/>
  <c r="I25" i="1"/>
  <c r="F20" i="2"/>
  <c r="G27" i="3"/>
  <c r="L27" i="3"/>
  <c r="M27" i="3" s="1"/>
  <c r="B31" i="4"/>
  <c r="B32" i="4" s="1"/>
  <c r="B33" i="4" s="1"/>
  <c r="B34" i="4" s="1"/>
  <c r="I21" i="2"/>
  <c r="J21" i="2" s="1"/>
  <c r="F25" i="4"/>
  <c r="H25" i="4" s="1"/>
  <c r="H24" i="4"/>
  <c r="I25" i="4"/>
  <c r="J25" i="4" s="1"/>
  <c r="J20" i="2"/>
  <c r="I24" i="3"/>
  <c r="A24" i="4"/>
  <c r="D25" i="4"/>
  <c r="A25" i="4" s="1"/>
  <c r="D26" i="3"/>
  <c r="H26" i="3"/>
  <c r="H27" i="3"/>
  <c r="E21" i="2"/>
  <c r="G21" i="2" s="1"/>
  <c r="B28" i="2" s="1"/>
  <c r="B29" i="2" s="1"/>
  <c r="B30" i="2" s="1"/>
  <c r="B31" i="2" s="1"/>
  <c r="A21" i="2"/>
  <c r="A22" i="2"/>
  <c r="E22" i="2"/>
  <c r="G22" i="2" s="1"/>
  <c r="F21" i="2" l="1"/>
  <c r="F22" i="2" s="1"/>
  <c r="I25" i="3"/>
  <c r="K24" i="3"/>
  <c r="K5" i="1"/>
  <c r="J25" i="1"/>
  <c r="J26" i="3"/>
  <c r="H21" i="2"/>
  <c r="H22" i="2" s="1"/>
  <c r="E23" i="2"/>
  <c r="D27" i="3"/>
  <c r="H28" i="3"/>
  <c r="I26" i="3" l="1"/>
  <c r="K25" i="3"/>
  <c r="L5" i="1"/>
  <c r="L25" i="1" s="1"/>
  <c r="B12" i="1" s="1"/>
  <c r="B13" i="1" s="1"/>
  <c r="B14" i="1" s="1"/>
  <c r="K25" i="1"/>
  <c r="J17" i="3"/>
  <c r="J18" i="3"/>
  <c r="K17" i="3"/>
  <c r="J19" i="3"/>
  <c r="J20" i="3"/>
  <c r="K18" i="3"/>
  <c r="K19" i="3"/>
  <c r="J21" i="3"/>
  <c r="J22" i="3"/>
  <c r="K20" i="3"/>
  <c r="J23" i="3"/>
  <c r="K21" i="3"/>
  <c r="K22" i="3"/>
  <c r="J24" i="3"/>
  <c r="K23" i="3"/>
  <c r="J25" i="3"/>
  <c r="J27" i="3"/>
  <c r="E33" i="3" l="1"/>
  <c r="E34" i="3" s="1"/>
  <c r="E35" i="3" s="1"/>
  <c r="E36" i="3" s="1"/>
  <c r="I27" i="3"/>
  <c r="K27" i="3" s="1"/>
  <c r="K26" i="3"/>
</calcChain>
</file>

<file path=xl/sharedStrings.xml><?xml version="1.0" encoding="utf-8"?>
<sst xmlns="http://schemas.openxmlformats.org/spreadsheetml/2006/main" count="159" uniqueCount="75">
  <si>
    <t>Вариационный ряд абсолютных частот</t>
  </si>
  <si>
    <t>Вариационный ряд относительных частот</t>
  </si>
  <si>
    <t>Мода</t>
  </si>
  <si>
    <r>
      <rPr>
        <i/>
        <sz val="12"/>
        <color theme="1"/>
        <rFont val="Mathcad UniMath"/>
        <family val="3"/>
      </rPr>
      <t>w</t>
    </r>
    <r>
      <rPr>
        <vertAlign val="subscript"/>
        <sz val="12"/>
        <color theme="1"/>
        <rFont val="Times New Roman"/>
        <family val="1"/>
        <charset val="204"/>
      </rPr>
      <t>нак</t>
    </r>
  </si>
  <si>
    <r>
      <rPr>
        <i/>
        <sz val="12"/>
        <color theme="1"/>
        <rFont val="Mathcad UniMath"/>
        <family val="3"/>
      </rPr>
      <t>n</t>
    </r>
    <r>
      <rPr>
        <vertAlign val="subscript"/>
        <sz val="12"/>
        <color theme="1"/>
        <rFont val="Times New Roman"/>
        <family val="1"/>
        <charset val="204"/>
      </rPr>
      <t>нак</t>
    </r>
  </si>
  <si>
    <t>Медиана</t>
  </si>
  <si>
    <t>Размах</t>
  </si>
  <si>
    <t>Дисперсия</t>
  </si>
  <si>
    <t>Кв.отклон</t>
  </si>
  <si>
    <t>Коэф. вар.</t>
  </si>
  <si>
    <t>L =</t>
  </si>
  <si>
    <t>k =</t>
  </si>
  <si>
    <t>n =</t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</si>
  <si>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min</t>
    </r>
    <r>
      <rPr>
        <b/>
        <sz val="11"/>
        <color theme="1"/>
        <rFont val="Calibri"/>
        <family val="2"/>
        <charset val="204"/>
        <scheme val="minor"/>
      </rPr>
      <t xml:space="preserve"> =</t>
    </r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</si>
  <si>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max</t>
    </r>
    <r>
      <rPr>
        <b/>
        <sz val="11"/>
        <color theme="1"/>
        <rFont val="Calibri"/>
        <family val="2"/>
        <charset val="204"/>
        <scheme val="minor"/>
      </rPr>
      <t xml:space="preserve"> =</t>
    </r>
  </si>
  <si>
    <t>Выход валовой продукции на 1 га с/х угодий, руб.</t>
  </si>
  <si>
    <t>[начало;</t>
  </si>
  <si>
    <t>конец)</t>
  </si>
  <si>
    <t>Середина интервала</t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</si>
  <si>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нач</t>
    </r>
    <r>
      <rPr>
        <b/>
        <sz val="11"/>
        <color theme="1"/>
        <rFont val="Calibri"/>
        <family val="2"/>
        <charset val="204"/>
        <scheme val="minor"/>
      </rPr>
      <t xml:space="preserve"> =</t>
    </r>
  </si>
  <si>
    <r>
      <t>Частота (</t>
    </r>
    <r>
      <rPr>
        <b/>
        <sz val="11"/>
        <color theme="1"/>
        <rFont val="Mathcad UniMath"/>
        <family val="3"/>
      </rPr>
      <t>n</t>
    </r>
    <r>
      <rPr>
        <b/>
        <vertAlign val="subscript"/>
        <sz val="11"/>
        <color theme="1"/>
        <rFont val="Mathcad UniMath"/>
        <family val="3"/>
      </rPr>
      <t>i</t>
    </r>
    <r>
      <rPr>
        <b/>
        <sz val="11"/>
        <color theme="1"/>
        <rFont val="Calibri"/>
        <family val="2"/>
        <charset val="204"/>
        <scheme val="minor"/>
      </rPr>
      <t xml:space="preserve">) </t>
    </r>
  </si>
  <si>
    <r>
      <t>Накоп. частота (</t>
    </r>
    <r>
      <rPr>
        <b/>
        <sz val="11"/>
        <color theme="1"/>
        <rFont val="Mathcad UniMath"/>
        <family val="3"/>
      </rPr>
      <t>n</t>
    </r>
    <r>
      <rPr>
        <b/>
        <vertAlign val="subscript"/>
        <sz val="11"/>
        <color theme="1"/>
        <rFont val="Mathcad UniMath"/>
        <family val="3"/>
      </rPr>
      <t xml:space="preserve">i </t>
    </r>
    <r>
      <rPr>
        <b/>
        <vertAlign val="superscript"/>
        <sz val="11"/>
        <color theme="1"/>
        <rFont val="Mathcad UniMath"/>
        <family val="3"/>
      </rPr>
      <t>нак</t>
    </r>
    <r>
      <rPr>
        <b/>
        <sz val="11"/>
        <color theme="1"/>
        <rFont val="Calibri"/>
        <family val="2"/>
        <charset val="204"/>
        <scheme val="minor"/>
      </rPr>
      <t xml:space="preserve">) </t>
    </r>
  </si>
  <si>
    <r>
      <t>Относ. частота (</t>
    </r>
    <r>
      <rPr>
        <b/>
        <sz val="11"/>
        <color theme="1"/>
        <rFont val="Mathcad UniMath"/>
        <family val="3"/>
      </rPr>
      <t>w</t>
    </r>
    <r>
      <rPr>
        <b/>
        <vertAlign val="subscript"/>
        <sz val="11"/>
        <color theme="1"/>
        <rFont val="Mathcad UniMath"/>
        <family val="3"/>
      </rPr>
      <t>i</t>
    </r>
    <r>
      <rPr>
        <b/>
        <sz val="11"/>
        <color theme="1"/>
        <rFont val="Calibri"/>
        <family val="2"/>
        <charset val="204"/>
        <scheme val="minor"/>
      </rPr>
      <t xml:space="preserve">) </t>
    </r>
  </si>
  <si>
    <r>
      <t>Нак. отн. частота (</t>
    </r>
    <r>
      <rPr>
        <b/>
        <sz val="11"/>
        <color theme="1"/>
        <rFont val="Mathcad UniMath"/>
        <family val="3"/>
      </rPr>
      <t>w</t>
    </r>
    <r>
      <rPr>
        <b/>
        <vertAlign val="subscript"/>
        <sz val="11"/>
        <color theme="1"/>
        <rFont val="Mathcad UniMath"/>
        <family val="3"/>
      </rPr>
      <t xml:space="preserve">i </t>
    </r>
    <r>
      <rPr>
        <b/>
        <vertAlign val="superscript"/>
        <sz val="11"/>
        <color theme="1"/>
        <rFont val="Mathcad UniMath"/>
        <family val="3"/>
      </rPr>
      <t>нак</t>
    </r>
    <r>
      <rPr>
        <b/>
        <sz val="11"/>
        <color theme="1"/>
        <rFont val="Calibri"/>
        <family val="2"/>
        <charset val="204"/>
        <scheme val="minor"/>
      </rPr>
      <t xml:space="preserve">) </t>
    </r>
  </si>
  <si>
    <t>Me =</t>
  </si>
  <si>
    <t>Mo =</t>
  </si>
  <si>
    <t>X =</t>
  </si>
  <si>
    <t>Квадрат середины интервала</t>
  </si>
  <si>
    <r>
      <t>s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 xml:space="preserve"> =</t>
    </r>
  </si>
  <si>
    <t>s =</t>
  </si>
  <si>
    <t>Коэф. вар.  =</t>
  </si>
  <si>
    <t>Вид интервала</t>
  </si>
  <si>
    <r>
      <t>Me, Mo, Q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</si>
  <si>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Me_min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</si>
  <si>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Me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</si>
  <si>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Me-1</t>
    </r>
    <r>
      <rPr>
        <b/>
        <vertAlign val="superscript"/>
        <sz val="11"/>
        <color theme="1"/>
        <rFont val="Calibri"/>
        <family val="2"/>
        <charset val="204"/>
        <scheme val="minor"/>
      </rPr>
      <t>нак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</si>
  <si>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Mo_min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</si>
  <si>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Mo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</si>
  <si>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Mo-1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</si>
  <si>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Mo+1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</si>
  <si>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</si>
  <si>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rPr>
        <b/>
        <sz val="11"/>
        <color theme="1"/>
        <rFont val="Calibri"/>
        <family val="2"/>
        <charset val="204"/>
      </rPr>
      <t>¾∙</t>
    </r>
    <r>
      <rPr>
        <b/>
        <sz val="11"/>
        <color theme="1"/>
        <rFont val="Calibri"/>
        <family val="2"/>
        <charset val="204"/>
        <scheme val="minor"/>
      </rPr>
      <t>n</t>
    </r>
  </si>
  <si>
    <t>h =</t>
  </si>
  <si>
    <r>
      <rPr>
        <b/>
        <sz val="11"/>
        <color theme="1"/>
        <rFont val="Calibri"/>
        <family val="2"/>
        <charset val="204"/>
      </rPr>
      <t>½∙</t>
    </r>
    <r>
      <rPr>
        <b/>
        <sz val="11"/>
        <color theme="1"/>
        <rFont val="Calibri"/>
        <family val="2"/>
        <charset val="204"/>
        <scheme val="minor"/>
      </rPr>
      <t>n</t>
    </r>
  </si>
  <si>
    <r>
      <t>¼</t>
    </r>
    <r>
      <rPr>
        <b/>
        <sz val="11"/>
        <color theme="1"/>
        <rFont val="Calibri"/>
        <family val="2"/>
        <charset val="204"/>
      </rPr>
      <t>∙</t>
    </r>
    <r>
      <rPr>
        <b/>
        <sz val="11"/>
        <color theme="1"/>
        <rFont val="Calibri"/>
        <family val="2"/>
        <charset val="204"/>
        <scheme val="minor"/>
      </rPr>
      <t>n</t>
    </r>
  </si>
  <si>
    <t>Ответы</t>
  </si>
  <si>
    <r>
      <t>Q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 xml:space="preserve"> =</t>
    </r>
  </si>
  <si>
    <r>
      <t>Q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  <scheme val="minor"/>
      </rPr>
      <t xml:space="preserve"> =</t>
    </r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</si>
  <si>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Q1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</si>
  <si>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Q1-1</t>
    </r>
    <r>
      <rPr>
        <b/>
        <vertAlign val="superscript"/>
        <sz val="11"/>
        <color theme="1"/>
        <rFont val="Calibri"/>
        <family val="2"/>
        <charset val="204"/>
        <scheme val="minor"/>
      </rPr>
      <t>нак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</si>
  <si>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Q1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</si>
  <si>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Q3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</si>
  <si>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Q3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</si>
  <si>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Q3-1</t>
    </r>
    <r>
      <rPr>
        <b/>
        <vertAlign val="superscript"/>
        <sz val="11"/>
        <color theme="1"/>
        <rFont val="Calibri"/>
        <family val="2"/>
        <charset val="204"/>
        <scheme val="minor"/>
      </rPr>
      <t>нак</t>
    </r>
    <r>
      <rPr>
        <b/>
        <sz val="11"/>
        <color theme="1"/>
        <rFont val="Calibri"/>
        <family val="2"/>
        <charset val="204"/>
        <scheme val="minor"/>
      </rPr>
      <t xml:space="preserve"> = </t>
    </r>
  </si>
  <si>
    <t>Средняя</t>
  </si>
  <si>
    <t>Выручка от реализации продукции, тыс.руб.</t>
  </si>
  <si>
    <t>Диапазон изменения признака разбейте на 11 интервалов, первый интервал – [2,5; 4,5)</t>
  </si>
  <si>
    <t>Число предприятий в группе</t>
  </si>
  <si>
    <r>
      <t>Mo, Q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</si>
  <si>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Me</t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</si>
  <si>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</si>
  <si>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Выручка от реализации</t>
  </si>
  <si>
    <t>14-16</t>
  </si>
  <si>
    <t>16-18</t>
  </si>
  <si>
    <t>18-20</t>
  </si>
  <si>
    <t>20-22</t>
  </si>
  <si>
    <t>22-24</t>
  </si>
  <si>
    <t>24-26</t>
  </si>
  <si>
    <t>4-6</t>
  </si>
  <si>
    <t>6-8</t>
  </si>
  <si>
    <t>8-10</t>
  </si>
  <si>
    <t>10-12</t>
  </si>
  <si>
    <t>12-14</t>
  </si>
  <si>
    <t>Me, Mo</t>
  </si>
  <si>
    <t>Удой коров на ферме (ц)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</si>
</sst>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b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Mathcad UniMath"/>
      <family val="3"/>
    </font>
    <font>
      <sz val="12"/>
      <color theme="1"/>
      <name val="Times New Roman"/>
      <family val="3"/>
      <charset val="204"/>
    </font>
    <font>
      <b/>
      <vertAlign val="subscript"/>
      <sz val="11"/>
      <color theme="1"/>
      <name val="Calibri"/>
      <family val="2"/>
      <charset val="204"/>
      <scheme val="minor"/>
    </font>
    <font>
      <b/>
      <sz val="11"/>
      <color theme="1"/>
      <name val="Mathcad UniMath"/>
      <family val="3"/>
    </font>
    <font>
      <b/>
      <vertAlign val="subscript"/>
      <sz val="11"/>
      <color theme="1"/>
      <name val="Mathcad UniMath"/>
      <family val="3"/>
    </font>
    <font>
      <b/>
      <vertAlign val="superscript"/>
      <sz val="11"/>
      <color theme="1"/>
      <name val="Mathcad UniMath"/>
      <family val="3"/>
    </font>
    <font>
      <b/>
      <vertAlign val="superscript"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6"/>
      <color theme="1"/>
      <name val="Monotype Corsiva"/>
      <family val="4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DF1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2" borderId="3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4" borderId="6" xfId="0" applyFont="1" applyFill="1" applyBorder="1" applyAlignment="1">
      <alignment horizontal="right"/>
    </xf>
    <xf numFmtId="0" fontId="0" fillId="4" borderId="6" xfId="0" applyFill="1" applyBorder="1" applyAlignment="1">
      <alignment horizontal="center"/>
    </xf>
    <xf numFmtId="0" fontId="0" fillId="5" borderId="0" xfId="0" applyFill="1"/>
    <xf numFmtId="0" fontId="1" fillId="6" borderId="6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8" borderId="6" xfId="0" applyFont="1" applyFill="1" applyBorder="1" applyAlignment="1">
      <alignment horizontal="right"/>
    </xf>
    <xf numFmtId="0" fontId="1" fillId="9" borderId="6" xfId="0" applyFont="1" applyFill="1" applyBorder="1"/>
    <xf numFmtId="0" fontId="1" fillId="10" borderId="6" xfId="0" applyFont="1" applyFill="1" applyBorder="1" applyAlignment="1">
      <alignment horizontal="right"/>
    </xf>
    <xf numFmtId="0" fontId="1" fillId="11" borderId="6" xfId="0" applyFont="1" applyFill="1" applyBorder="1" applyAlignment="1">
      <alignment horizontal="right"/>
    </xf>
    <xf numFmtId="0" fontId="1" fillId="3" borderId="10" xfId="0" applyFont="1" applyFill="1" applyBorder="1" applyAlignment="1">
      <alignment horizontal="right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12" borderId="6" xfId="0" applyFont="1" applyFill="1" applyBorder="1" applyAlignment="1">
      <alignment horizontal="right"/>
    </xf>
    <xf numFmtId="0" fontId="1" fillId="0" borderId="6" xfId="0" applyFont="1" applyBorder="1" applyAlignment="1">
      <alignment horizontal="left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0" borderId="6" xfId="0" applyBorder="1"/>
    <xf numFmtId="0" fontId="0" fillId="11" borderId="6" xfId="0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164" fontId="1" fillId="0" borderId="6" xfId="0" applyNumberFormat="1" applyFont="1" applyBorder="1" applyAlignment="1">
      <alignment horizontal="left"/>
    </xf>
    <xf numFmtId="49" fontId="16" fillId="13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right" vertical="top" wrapText="1"/>
    </xf>
    <xf numFmtId="165" fontId="1" fillId="0" borderId="6" xfId="0" applyNumberFormat="1" applyFont="1" applyBorder="1" applyAlignment="1">
      <alignment horizontal="left"/>
    </xf>
    <xf numFmtId="0" fontId="5" fillId="2" borderId="22" xfId="0" applyFont="1" applyFill="1" applyBorder="1" applyAlignment="1">
      <alignment vertical="top" wrapText="1"/>
    </xf>
    <xf numFmtId="0" fontId="3" fillId="0" borderId="23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6" fillId="13" borderId="6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FFCC"/>
      <color rgb="FFFFCCFF"/>
      <color rgb="FFCC66FF"/>
      <color rgb="FF9966FF"/>
      <color rgb="FFE9DF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2316062256506821"/>
          <c:y val="0.90320057097718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'Задача 2'!$A$17:$A$22</c:f>
              <c:strCache>
                <c:ptCount val="6"/>
                <c:pt idx="0">
                  <c:v>[175; 325)</c:v>
                </c:pt>
                <c:pt idx="1">
                  <c:v>[325; 475)</c:v>
                </c:pt>
                <c:pt idx="2">
                  <c:v>[475; 625)</c:v>
                </c:pt>
                <c:pt idx="3">
                  <c:v>[625; 775)</c:v>
                </c:pt>
                <c:pt idx="4">
                  <c:v>[775; 925)</c:v>
                </c:pt>
                <c:pt idx="5">
                  <c:v>[925; 1082)</c:v>
                </c:pt>
              </c:strCache>
            </c:strRef>
          </c:cat>
          <c:val>
            <c:numRef>
              <c:f>'Задача 2'!$G$17:$G$22</c:f>
              <c:numCache>
                <c:formatCode>General</c:formatCode>
                <c:ptCount val="6"/>
                <c:pt idx="0">
                  <c:v>0.2</c:v>
                </c:pt>
                <c:pt idx="1">
                  <c:v>0.48</c:v>
                </c:pt>
                <c:pt idx="2">
                  <c:v>0.2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5-BC47-BBEC-F192158D0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45952960"/>
        <c:axId val="2129027056"/>
      </c:barChart>
      <c:catAx>
        <c:axId val="9459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027056"/>
        <c:crosses val="autoZero"/>
        <c:auto val="1"/>
        <c:lblAlgn val="ctr"/>
        <c:lblOffset val="100"/>
        <c:noMultiLvlLbl val="0"/>
      </c:catAx>
      <c:valAx>
        <c:axId val="21290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5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4.wmf"/><Relationship Id="rId13" Type="http://schemas.openxmlformats.org/officeDocument/2006/relationships/image" Target="../media/image19.emf"/><Relationship Id="rId3" Type="http://schemas.openxmlformats.org/officeDocument/2006/relationships/image" Target="../media/image9.emf"/><Relationship Id="rId7" Type="http://schemas.openxmlformats.org/officeDocument/2006/relationships/image" Target="../media/image13.emf"/><Relationship Id="rId12" Type="http://schemas.openxmlformats.org/officeDocument/2006/relationships/image" Target="../media/image18.wmf"/><Relationship Id="rId2" Type="http://schemas.openxmlformats.org/officeDocument/2006/relationships/image" Target="../media/image8.emf"/><Relationship Id="rId1" Type="http://schemas.openxmlformats.org/officeDocument/2006/relationships/image" Target="../media/image7.wmf"/><Relationship Id="rId6" Type="http://schemas.openxmlformats.org/officeDocument/2006/relationships/image" Target="../media/image12.emf"/><Relationship Id="rId11" Type="http://schemas.openxmlformats.org/officeDocument/2006/relationships/image" Target="../media/image17.emf"/><Relationship Id="rId5" Type="http://schemas.openxmlformats.org/officeDocument/2006/relationships/image" Target="../media/image11.emf"/><Relationship Id="rId10" Type="http://schemas.openxmlformats.org/officeDocument/2006/relationships/image" Target="../media/image16.emf"/><Relationship Id="rId4" Type="http://schemas.openxmlformats.org/officeDocument/2006/relationships/image" Target="../media/image10.wmf"/><Relationship Id="rId9" Type="http://schemas.openxmlformats.org/officeDocument/2006/relationships/image" Target="../media/image15.emf"/><Relationship Id="rId14" Type="http://schemas.openxmlformats.org/officeDocument/2006/relationships/image" Target="../media/image20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20.emf"/><Relationship Id="rId5" Type="http://schemas.openxmlformats.org/officeDocument/2006/relationships/image" Target="../media/image19.emf"/><Relationship Id="rId4" Type="http://schemas.openxmlformats.org/officeDocument/2006/relationships/image" Target="../media/image14.w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26.wmf"/><Relationship Id="rId7" Type="http://schemas.openxmlformats.org/officeDocument/2006/relationships/image" Target="../media/image14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13.emf"/><Relationship Id="rId5" Type="http://schemas.openxmlformats.org/officeDocument/2006/relationships/image" Target="../media/image9.emf"/><Relationship Id="rId4" Type="http://schemas.openxmlformats.org/officeDocument/2006/relationships/image" Target="../media/image8.emf"/><Relationship Id="rId9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114849</xdr:colOff>
      <xdr:row>1</xdr:row>
      <xdr:rowOff>1135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90476" cy="232380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2</xdr:row>
          <xdr:rowOff>0</xdr:rowOff>
        </xdr:from>
        <xdr:to>
          <xdr:col>14</xdr:col>
          <xdr:colOff>160020</xdr:colOff>
          <xdr:row>2</xdr:row>
          <xdr:rowOff>228600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</xdr:row>
          <xdr:rowOff>0</xdr:rowOff>
        </xdr:from>
        <xdr:to>
          <xdr:col>14</xdr:col>
          <xdr:colOff>160020</xdr:colOff>
          <xdr:row>4</xdr:row>
          <xdr:rowOff>30480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2</xdr:row>
          <xdr:rowOff>0</xdr:rowOff>
        </xdr:from>
        <xdr:to>
          <xdr:col>14</xdr:col>
          <xdr:colOff>160020</xdr:colOff>
          <xdr:row>2</xdr:row>
          <xdr:rowOff>228600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23</xdr:row>
          <xdr:rowOff>0</xdr:rowOff>
        </xdr:from>
        <xdr:to>
          <xdr:col>0</xdr:col>
          <xdr:colOff>160020</xdr:colOff>
          <xdr:row>23</xdr:row>
          <xdr:rowOff>228600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24</xdr:row>
          <xdr:rowOff>0</xdr:rowOff>
        </xdr:from>
        <xdr:to>
          <xdr:col>0</xdr:col>
          <xdr:colOff>198120</xdr:colOff>
          <xdr:row>24</xdr:row>
          <xdr:rowOff>228600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66675</xdr:colOff>
      <xdr:row>7</xdr:row>
      <xdr:rowOff>47625</xdr:rowOff>
    </xdr:from>
    <xdr:to>
      <xdr:col>23</xdr:col>
      <xdr:colOff>380200</xdr:colOff>
      <xdr:row>22</xdr:row>
      <xdr:rowOff>161553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3714750"/>
          <a:ext cx="6409524" cy="298095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439435</xdr:colOff>
      <xdr:row>0</xdr:row>
      <xdr:rowOff>2628571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00000" cy="26285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198120</xdr:colOff>
          <xdr:row>17</xdr:row>
          <xdr:rowOff>7620</xdr:rowOff>
        </xdr:from>
        <xdr:to>
          <xdr:col>15</xdr:col>
          <xdr:colOff>182880</xdr:colOff>
          <xdr:row>19</xdr:row>
          <xdr:rowOff>30480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259080</xdr:colOff>
          <xdr:row>24</xdr:row>
          <xdr:rowOff>0</xdr:rowOff>
        </xdr:from>
        <xdr:to>
          <xdr:col>5</xdr:col>
          <xdr:colOff>563880</xdr:colOff>
          <xdr:row>26</xdr:row>
          <xdr:rowOff>76200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259080</xdr:colOff>
          <xdr:row>26</xdr:row>
          <xdr:rowOff>30480</xdr:rowOff>
        </xdr:from>
        <xdr:to>
          <xdr:col>7</xdr:col>
          <xdr:colOff>198120</xdr:colOff>
          <xdr:row>28</xdr:row>
          <xdr:rowOff>106680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23</xdr:row>
          <xdr:rowOff>160020</xdr:rowOff>
        </xdr:from>
        <xdr:to>
          <xdr:col>14</xdr:col>
          <xdr:colOff>7620</xdr:colOff>
          <xdr:row>26</xdr:row>
          <xdr:rowOff>30480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27</xdr:row>
          <xdr:rowOff>7620</xdr:rowOff>
        </xdr:from>
        <xdr:to>
          <xdr:col>16</xdr:col>
          <xdr:colOff>274320</xdr:colOff>
          <xdr:row>29</xdr:row>
          <xdr:rowOff>76200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30</xdr:row>
          <xdr:rowOff>7620</xdr:rowOff>
        </xdr:from>
        <xdr:to>
          <xdr:col>17</xdr:col>
          <xdr:colOff>601980</xdr:colOff>
          <xdr:row>32</xdr:row>
          <xdr:rowOff>30480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274320</xdr:colOff>
          <xdr:row>28</xdr:row>
          <xdr:rowOff>106680</xdr:rowOff>
        </xdr:from>
        <xdr:to>
          <xdr:col>5</xdr:col>
          <xdr:colOff>571500</xdr:colOff>
          <xdr:row>30</xdr:row>
          <xdr:rowOff>152400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297180</xdr:colOff>
          <xdr:row>30</xdr:row>
          <xdr:rowOff>182880</xdr:rowOff>
        </xdr:from>
        <xdr:to>
          <xdr:col>4</xdr:col>
          <xdr:colOff>525780</xdr:colOff>
          <xdr:row>33</xdr:row>
          <xdr:rowOff>38100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36</xdr:row>
          <xdr:rowOff>106680</xdr:rowOff>
        </xdr:from>
        <xdr:to>
          <xdr:col>12</xdr:col>
          <xdr:colOff>541020</xdr:colOff>
          <xdr:row>39</xdr:row>
          <xdr:rowOff>30480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32</xdr:row>
          <xdr:rowOff>144780</xdr:rowOff>
        </xdr:from>
        <xdr:to>
          <xdr:col>18</xdr:col>
          <xdr:colOff>114300</xdr:colOff>
          <xdr:row>33</xdr:row>
          <xdr:rowOff>121920</xdr:rowOff>
        </xdr:to>
        <xdr:sp macro="" textlink="">
          <xdr:nvSpPr>
            <xdr:cNvPr id="2062" name="Object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34</xdr:row>
          <xdr:rowOff>106680</xdr:rowOff>
        </xdr:from>
        <xdr:to>
          <xdr:col>10</xdr:col>
          <xdr:colOff>601980</xdr:colOff>
          <xdr:row>36</xdr:row>
          <xdr:rowOff>30480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39</xdr:row>
          <xdr:rowOff>68580</xdr:rowOff>
        </xdr:from>
        <xdr:to>
          <xdr:col>14</xdr:col>
          <xdr:colOff>182880</xdr:colOff>
          <xdr:row>43</xdr:row>
          <xdr:rowOff>7620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455542</xdr:colOff>
      <xdr:row>42</xdr:row>
      <xdr:rowOff>165652</xdr:rowOff>
    </xdr:from>
    <xdr:to>
      <xdr:col>14</xdr:col>
      <xdr:colOff>115956</xdr:colOff>
      <xdr:row>46</xdr:row>
      <xdr:rowOff>89366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8955" y="11529391"/>
          <a:ext cx="4257262" cy="68571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36</xdr:row>
          <xdr:rowOff>30480</xdr:rowOff>
        </xdr:from>
        <xdr:to>
          <xdr:col>5</xdr:col>
          <xdr:colOff>426720</xdr:colOff>
          <xdr:row>39</xdr:row>
          <xdr:rowOff>68580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259080</xdr:colOff>
          <xdr:row>32</xdr:row>
          <xdr:rowOff>144780</xdr:rowOff>
        </xdr:from>
        <xdr:to>
          <xdr:col>5</xdr:col>
          <xdr:colOff>525780</xdr:colOff>
          <xdr:row>36</xdr:row>
          <xdr:rowOff>68580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17</xdr:col>
      <xdr:colOff>82826</xdr:colOff>
      <xdr:row>0</xdr:row>
      <xdr:rowOff>215348</xdr:rowOff>
    </xdr:from>
    <xdr:to>
      <xdr:col>31</xdr:col>
      <xdr:colOff>82995</xdr:colOff>
      <xdr:row>24</xdr:row>
      <xdr:rowOff>5683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31826" y="215348"/>
          <a:ext cx="8580952" cy="754285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21</xdr:col>
      <xdr:colOff>487988</xdr:colOff>
      <xdr:row>28</xdr:row>
      <xdr:rowOff>5388</xdr:rowOff>
    </xdr:from>
    <xdr:to>
      <xdr:col>28</xdr:col>
      <xdr:colOff>352521</xdr:colOff>
      <xdr:row>42</xdr:row>
      <xdr:rowOff>9698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8332</xdr:colOff>
      <xdr:row>0</xdr:row>
      <xdr:rowOff>2000000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42857" cy="2000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373380</xdr:colOff>
          <xdr:row>29</xdr:row>
          <xdr:rowOff>106680</xdr:rowOff>
        </xdr:from>
        <xdr:to>
          <xdr:col>8</xdr:col>
          <xdr:colOff>419100</xdr:colOff>
          <xdr:row>31</xdr:row>
          <xdr:rowOff>160020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373380</xdr:colOff>
          <xdr:row>31</xdr:row>
          <xdr:rowOff>106680</xdr:rowOff>
        </xdr:from>
        <xdr:to>
          <xdr:col>9</xdr:col>
          <xdr:colOff>411480</xdr:colOff>
          <xdr:row>33</xdr:row>
          <xdr:rowOff>182880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335280</xdr:colOff>
          <xdr:row>33</xdr:row>
          <xdr:rowOff>152400</xdr:rowOff>
        </xdr:from>
        <xdr:to>
          <xdr:col>8</xdr:col>
          <xdr:colOff>335280</xdr:colOff>
          <xdr:row>35</xdr:row>
          <xdr:rowOff>190500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36</xdr:row>
          <xdr:rowOff>30480</xdr:rowOff>
        </xdr:from>
        <xdr:to>
          <xdr:col>7</xdr:col>
          <xdr:colOff>266700</xdr:colOff>
          <xdr:row>38</xdr:row>
          <xdr:rowOff>68580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41</xdr:row>
          <xdr:rowOff>68580</xdr:rowOff>
        </xdr:from>
        <xdr:to>
          <xdr:col>8</xdr:col>
          <xdr:colOff>297180</xdr:colOff>
          <xdr:row>44</xdr:row>
          <xdr:rowOff>106680</xdr:rowOff>
        </xdr:to>
        <xdr:sp macro="" textlink="">
          <xdr:nvSpPr>
            <xdr:cNvPr id="3087" name="Object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373380</xdr:colOff>
          <xdr:row>37</xdr:row>
          <xdr:rowOff>190500</xdr:rowOff>
        </xdr:from>
        <xdr:to>
          <xdr:col>8</xdr:col>
          <xdr:colOff>381000</xdr:colOff>
          <xdr:row>41</xdr:row>
          <xdr:rowOff>106680</xdr:rowOff>
        </xdr:to>
        <xdr:sp macro="" textlink="">
          <xdr:nvSpPr>
            <xdr:cNvPr id="3088" name="Object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28575</xdr:colOff>
      <xdr:row>0</xdr:row>
      <xdr:rowOff>381000</xdr:rowOff>
    </xdr:from>
    <xdr:to>
      <xdr:col>28</xdr:col>
      <xdr:colOff>589487</xdr:colOff>
      <xdr:row>29</xdr:row>
      <xdr:rowOff>170484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9050" y="381000"/>
          <a:ext cx="8504762" cy="772380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36903</xdr:colOff>
      <xdr:row>0</xdr:row>
      <xdr:rowOff>1771429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71428" cy="17714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487680</xdr:colOff>
          <xdr:row>1</xdr:row>
          <xdr:rowOff>7620</xdr:rowOff>
        </xdr:from>
        <xdr:to>
          <xdr:col>0</xdr:col>
          <xdr:colOff>640080</xdr:colOff>
          <xdr:row>1</xdr:row>
          <xdr:rowOff>236220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487680</xdr:colOff>
          <xdr:row>2</xdr:row>
          <xdr:rowOff>7620</xdr:rowOff>
        </xdr:from>
        <xdr:to>
          <xdr:col>0</xdr:col>
          <xdr:colOff>640080</xdr:colOff>
          <xdr:row>3</xdr:row>
          <xdr:rowOff>7620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312420</xdr:colOff>
          <xdr:row>3</xdr:row>
          <xdr:rowOff>30480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259080</xdr:colOff>
          <xdr:row>27</xdr:row>
          <xdr:rowOff>0</xdr:rowOff>
        </xdr:from>
        <xdr:to>
          <xdr:col>5</xdr:col>
          <xdr:colOff>563880</xdr:colOff>
          <xdr:row>29</xdr:row>
          <xdr:rowOff>76200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259080</xdr:colOff>
          <xdr:row>29</xdr:row>
          <xdr:rowOff>30480</xdr:rowOff>
        </xdr:from>
        <xdr:to>
          <xdr:col>7</xdr:col>
          <xdr:colOff>198120</xdr:colOff>
          <xdr:row>31</xdr:row>
          <xdr:rowOff>106680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274320</xdr:colOff>
          <xdr:row>31</xdr:row>
          <xdr:rowOff>106680</xdr:rowOff>
        </xdr:from>
        <xdr:to>
          <xdr:col>5</xdr:col>
          <xdr:colOff>571500</xdr:colOff>
          <xdr:row>33</xdr:row>
          <xdr:rowOff>152400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297180</xdr:colOff>
          <xdr:row>33</xdr:row>
          <xdr:rowOff>182880</xdr:rowOff>
        </xdr:from>
        <xdr:to>
          <xdr:col>4</xdr:col>
          <xdr:colOff>525780</xdr:colOff>
          <xdr:row>36</xdr:row>
          <xdr:rowOff>38100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39</xdr:row>
          <xdr:rowOff>30480</xdr:rowOff>
        </xdr:from>
        <xdr:to>
          <xdr:col>5</xdr:col>
          <xdr:colOff>426720</xdr:colOff>
          <xdr:row>42</xdr:row>
          <xdr:rowOff>68580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259080</xdr:colOff>
          <xdr:row>35</xdr:row>
          <xdr:rowOff>144780</xdr:rowOff>
        </xdr:from>
        <xdr:to>
          <xdr:col>5</xdr:col>
          <xdr:colOff>525780</xdr:colOff>
          <xdr:row>39</xdr:row>
          <xdr:rowOff>68580</xdr:rowOff>
        </xdr:to>
        <xdr:sp macro="" textlink="">
          <xdr:nvSpPr>
            <xdr:cNvPr id="4106" name="Object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16</xdr:col>
      <xdr:colOff>0</xdr:colOff>
      <xdr:row>0</xdr:row>
      <xdr:rowOff>0</xdr:rowOff>
    </xdr:from>
    <xdr:to>
      <xdr:col>27</xdr:col>
      <xdr:colOff>446781</xdr:colOff>
      <xdr:row>28</xdr:row>
      <xdr:rowOff>132358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44125" y="0"/>
          <a:ext cx="7152381" cy="793333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image" Target="../media/image4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5.bin"/><Relationship Id="rId5" Type="http://schemas.openxmlformats.org/officeDocument/2006/relationships/image" Target="../media/image1.wmf"/><Relationship Id="rId10" Type="http://schemas.openxmlformats.org/officeDocument/2006/relationships/image" Target="../media/image3.emf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.bin"/><Relationship Id="rId13" Type="http://schemas.openxmlformats.org/officeDocument/2006/relationships/image" Target="../media/image11.emf"/><Relationship Id="rId18" Type="http://schemas.openxmlformats.org/officeDocument/2006/relationships/oleObject" Target="../embeddings/oleObject13.bin"/><Relationship Id="rId26" Type="http://schemas.openxmlformats.org/officeDocument/2006/relationships/oleObject" Target="../embeddings/oleObject17.bin"/><Relationship Id="rId3" Type="http://schemas.openxmlformats.org/officeDocument/2006/relationships/vmlDrawing" Target="../drawings/vmlDrawing2.vml"/><Relationship Id="rId21" Type="http://schemas.openxmlformats.org/officeDocument/2006/relationships/image" Target="../media/image15.emf"/><Relationship Id="rId7" Type="http://schemas.openxmlformats.org/officeDocument/2006/relationships/image" Target="../media/image8.emf"/><Relationship Id="rId12" Type="http://schemas.openxmlformats.org/officeDocument/2006/relationships/oleObject" Target="../embeddings/oleObject10.bin"/><Relationship Id="rId17" Type="http://schemas.openxmlformats.org/officeDocument/2006/relationships/image" Target="../media/image13.emf"/><Relationship Id="rId25" Type="http://schemas.openxmlformats.org/officeDocument/2006/relationships/image" Target="../media/image17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2.bin"/><Relationship Id="rId20" Type="http://schemas.openxmlformats.org/officeDocument/2006/relationships/oleObject" Target="../embeddings/oleObject14.bin"/><Relationship Id="rId29" Type="http://schemas.openxmlformats.org/officeDocument/2006/relationships/image" Target="../media/image19.emf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7.bin"/><Relationship Id="rId11" Type="http://schemas.openxmlformats.org/officeDocument/2006/relationships/image" Target="../media/image10.wmf"/><Relationship Id="rId24" Type="http://schemas.openxmlformats.org/officeDocument/2006/relationships/oleObject" Target="../embeddings/oleObject16.bin"/><Relationship Id="rId5" Type="http://schemas.openxmlformats.org/officeDocument/2006/relationships/image" Target="../media/image7.wmf"/><Relationship Id="rId15" Type="http://schemas.openxmlformats.org/officeDocument/2006/relationships/image" Target="../media/image12.emf"/><Relationship Id="rId23" Type="http://schemas.openxmlformats.org/officeDocument/2006/relationships/image" Target="../media/image16.emf"/><Relationship Id="rId28" Type="http://schemas.openxmlformats.org/officeDocument/2006/relationships/oleObject" Target="../embeddings/oleObject18.bin"/><Relationship Id="rId10" Type="http://schemas.openxmlformats.org/officeDocument/2006/relationships/oleObject" Target="../embeddings/oleObject9.bin"/><Relationship Id="rId19" Type="http://schemas.openxmlformats.org/officeDocument/2006/relationships/image" Target="../media/image14.wmf"/><Relationship Id="rId31" Type="http://schemas.openxmlformats.org/officeDocument/2006/relationships/image" Target="../media/image20.emf"/><Relationship Id="rId4" Type="http://schemas.openxmlformats.org/officeDocument/2006/relationships/oleObject" Target="../embeddings/oleObject6.bin"/><Relationship Id="rId9" Type="http://schemas.openxmlformats.org/officeDocument/2006/relationships/image" Target="../media/image9.emf"/><Relationship Id="rId14" Type="http://schemas.openxmlformats.org/officeDocument/2006/relationships/oleObject" Target="../embeddings/oleObject11.bin"/><Relationship Id="rId22" Type="http://schemas.openxmlformats.org/officeDocument/2006/relationships/oleObject" Target="../embeddings/oleObject15.bin"/><Relationship Id="rId27" Type="http://schemas.openxmlformats.org/officeDocument/2006/relationships/image" Target="../media/image18.wmf"/><Relationship Id="rId30" Type="http://schemas.openxmlformats.org/officeDocument/2006/relationships/oleObject" Target="../embeddings/oleObject1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2.bin"/><Relationship Id="rId13" Type="http://schemas.openxmlformats.org/officeDocument/2006/relationships/image" Target="../media/image19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12" Type="http://schemas.openxmlformats.org/officeDocument/2006/relationships/oleObject" Target="../embeddings/oleObject24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1.bin"/><Relationship Id="rId11" Type="http://schemas.openxmlformats.org/officeDocument/2006/relationships/image" Target="../media/image14.wmf"/><Relationship Id="rId5" Type="http://schemas.openxmlformats.org/officeDocument/2006/relationships/image" Target="../media/image8.emf"/><Relationship Id="rId15" Type="http://schemas.openxmlformats.org/officeDocument/2006/relationships/image" Target="../media/image20.emf"/><Relationship Id="rId10" Type="http://schemas.openxmlformats.org/officeDocument/2006/relationships/oleObject" Target="../embeddings/oleObject23.bin"/><Relationship Id="rId4" Type="http://schemas.openxmlformats.org/officeDocument/2006/relationships/oleObject" Target="../embeddings/oleObject20.bin"/><Relationship Id="rId9" Type="http://schemas.openxmlformats.org/officeDocument/2006/relationships/image" Target="../media/image13.emf"/><Relationship Id="rId14" Type="http://schemas.openxmlformats.org/officeDocument/2006/relationships/oleObject" Target="../embeddings/oleObject2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wmf"/><Relationship Id="rId13" Type="http://schemas.openxmlformats.org/officeDocument/2006/relationships/oleObject" Target="../embeddings/oleObject31.bin"/><Relationship Id="rId18" Type="http://schemas.openxmlformats.org/officeDocument/2006/relationships/image" Target="../media/image19.emf"/><Relationship Id="rId3" Type="http://schemas.openxmlformats.org/officeDocument/2006/relationships/oleObject" Target="../embeddings/oleObject26.bin"/><Relationship Id="rId7" Type="http://schemas.openxmlformats.org/officeDocument/2006/relationships/oleObject" Target="../embeddings/oleObject28.bin"/><Relationship Id="rId12" Type="http://schemas.openxmlformats.org/officeDocument/2006/relationships/image" Target="../media/image9.emf"/><Relationship Id="rId17" Type="http://schemas.openxmlformats.org/officeDocument/2006/relationships/oleObject" Target="../embeddings/oleObject33.bin"/><Relationship Id="rId2" Type="http://schemas.openxmlformats.org/officeDocument/2006/relationships/vmlDrawing" Target="../drawings/vmlDrawing4.vml"/><Relationship Id="rId16" Type="http://schemas.openxmlformats.org/officeDocument/2006/relationships/image" Target="../media/image14.wmf"/><Relationship Id="rId20" Type="http://schemas.openxmlformats.org/officeDocument/2006/relationships/image" Target="../media/image20.emf"/><Relationship Id="rId1" Type="http://schemas.openxmlformats.org/officeDocument/2006/relationships/drawing" Target="../drawings/drawing4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30.bin"/><Relationship Id="rId5" Type="http://schemas.openxmlformats.org/officeDocument/2006/relationships/oleObject" Target="../embeddings/oleObject27.bin"/><Relationship Id="rId15" Type="http://schemas.openxmlformats.org/officeDocument/2006/relationships/oleObject" Target="../embeddings/oleObject32.bin"/><Relationship Id="rId10" Type="http://schemas.openxmlformats.org/officeDocument/2006/relationships/image" Target="../media/image8.emf"/><Relationship Id="rId19" Type="http://schemas.openxmlformats.org/officeDocument/2006/relationships/oleObject" Target="../embeddings/oleObject34.bin"/><Relationship Id="rId4" Type="http://schemas.openxmlformats.org/officeDocument/2006/relationships/image" Target="../media/image1.wmf"/><Relationship Id="rId9" Type="http://schemas.openxmlformats.org/officeDocument/2006/relationships/oleObject" Target="../embeddings/oleObject29.bin"/><Relationship Id="rId14" Type="http://schemas.openxmlformats.org/officeDocument/2006/relationships/image" Target="../media/image1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0AC4-9760-4F2E-B4C7-81613C1AB16B}">
  <sheetPr>
    <tabColor theme="4" tint="0.39997558519241921"/>
  </sheetPr>
  <dimension ref="A1:AA25"/>
  <sheetViews>
    <sheetView tabSelected="1" zoomScale="112" workbookViewId="0">
      <selection activeCell="N5" sqref="N5"/>
    </sheetView>
  </sheetViews>
  <sheetFormatPr defaultColWidth="8.88671875" defaultRowHeight="14.4" x14ac:dyDescent="0.3"/>
  <cols>
    <col min="1" max="1" width="10.88671875" customWidth="1"/>
    <col min="2" max="2" width="11.6640625" bestFit="1" customWidth="1"/>
  </cols>
  <sheetData>
    <row r="1" spans="1:27" ht="183.75" customHeight="1" x14ac:dyDescent="0.3"/>
    <row r="2" spans="1:27" ht="16.2" thickBot="1" x14ac:dyDescent="0.35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O2" s="54" t="s">
        <v>0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7" ht="18.600000000000001" thickBot="1" x14ac:dyDescent="0.35">
      <c r="A3" s="1"/>
      <c r="B3" s="2">
        <v>15</v>
      </c>
      <c r="C3" s="2">
        <v>16</v>
      </c>
      <c r="D3" s="2">
        <v>17</v>
      </c>
      <c r="E3" s="2">
        <v>18</v>
      </c>
      <c r="F3" s="2">
        <v>19</v>
      </c>
      <c r="G3" s="2">
        <v>20</v>
      </c>
      <c r="H3" s="2">
        <v>21</v>
      </c>
      <c r="I3" s="2">
        <v>22</v>
      </c>
      <c r="J3" s="2">
        <v>23</v>
      </c>
      <c r="K3" s="2">
        <v>24</v>
      </c>
      <c r="L3" s="2">
        <v>25</v>
      </c>
      <c r="M3" s="4"/>
      <c r="O3" s="1"/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</row>
    <row r="4" spans="1:27" ht="18.600000000000001" thickBot="1" x14ac:dyDescent="0.35">
      <c r="A4" s="6"/>
      <c r="B4" s="49">
        <f>P4/$Z$5</f>
        <v>0.02</v>
      </c>
      <c r="C4" s="49">
        <f t="shared" ref="C4:L4" si="0">Q4/$Z$5</f>
        <v>0.04</v>
      </c>
      <c r="D4" s="49">
        <f t="shared" si="0"/>
        <v>0.08</v>
      </c>
      <c r="E4" s="49">
        <f t="shared" si="0"/>
        <v>0.1</v>
      </c>
      <c r="F4" s="49">
        <f t="shared" si="0"/>
        <v>0.08</v>
      </c>
      <c r="G4" s="49">
        <f t="shared" si="0"/>
        <v>0.18</v>
      </c>
      <c r="H4" s="49">
        <f t="shared" si="0"/>
        <v>0.2</v>
      </c>
      <c r="I4" s="49">
        <f t="shared" si="0"/>
        <v>0.1</v>
      </c>
      <c r="J4" s="49">
        <f t="shared" si="0"/>
        <v>0.1</v>
      </c>
      <c r="K4" s="49">
        <f t="shared" si="0"/>
        <v>0.08</v>
      </c>
      <c r="L4" s="49">
        <f t="shared" si="0"/>
        <v>0.02</v>
      </c>
      <c r="M4">
        <f>SUM(B4:L4)</f>
        <v>0.99999999999999989</v>
      </c>
      <c r="O4" s="3"/>
      <c r="P4" s="4">
        <v>1</v>
      </c>
      <c r="Q4" s="4">
        <v>2</v>
      </c>
      <c r="R4" s="4">
        <v>4</v>
      </c>
      <c r="S4" s="4">
        <v>5</v>
      </c>
      <c r="T4" s="4">
        <v>4</v>
      </c>
      <c r="U4" s="4">
        <v>9</v>
      </c>
      <c r="V4" s="4">
        <v>10</v>
      </c>
      <c r="W4" s="4">
        <v>5</v>
      </c>
      <c r="X4" s="4">
        <v>5</v>
      </c>
      <c r="Y4" s="4">
        <v>4</v>
      </c>
      <c r="Z4" s="4">
        <v>1</v>
      </c>
      <c r="AA4">
        <f>SUM(P4:Z4)</f>
        <v>50</v>
      </c>
    </row>
    <row r="5" spans="1:27" ht="18.600000000000001" thickBot="1" x14ac:dyDescent="0.35">
      <c r="A5" s="48" t="s">
        <v>3</v>
      </c>
      <c r="B5" s="50">
        <f>B4</f>
        <v>0.02</v>
      </c>
      <c r="C5" s="4">
        <f>B5+C4</f>
        <v>0.06</v>
      </c>
      <c r="D5" s="4">
        <f t="shared" ref="D5:L5" si="1">C5+D4</f>
        <v>0.14000000000000001</v>
      </c>
      <c r="E5" s="4">
        <f t="shared" si="1"/>
        <v>0.24000000000000002</v>
      </c>
      <c r="F5" s="4">
        <f t="shared" si="1"/>
        <v>0.32</v>
      </c>
      <c r="G5" s="4">
        <f t="shared" si="1"/>
        <v>0.5</v>
      </c>
      <c r="H5" s="4">
        <f t="shared" si="1"/>
        <v>0.7</v>
      </c>
      <c r="I5" s="4">
        <f t="shared" si="1"/>
        <v>0.79999999999999993</v>
      </c>
      <c r="J5" s="4">
        <f t="shared" si="1"/>
        <v>0.89999999999999991</v>
      </c>
      <c r="K5" s="4">
        <f t="shared" si="1"/>
        <v>0.97999999999999987</v>
      </c>
      <c r="L5" s="4">
        <f t="shared" si="1"/>
        <v>0.99999999999999989</v>
      </c>
      <c r="M5" s="4"/>
      <c r="O5" s="7" t="s">
        <v>4</v>
      </c>
      <c r="P5" s="4">
        <f>P4</f>
        <v>1</v>
      </c>
      <c r="Q5" s="4">
        <f>P5+Q4</f>
        <v>3</v>
      </c>
      <c r="R5" s="4">
        <f t="shared" ref="R5:Z5" si="2">Q5+R4</f>
        <v>7</v>
      </c>
      <c r="S5" s="4">
        <f t="shared" si="2"/>
        <v>12</v>
      </c>
      <c r="T5" s="4">
        <f t="shared" si="2"/>
        <v>16</v>
      </c>
      <c r="U5" s="4">
        <f t="shared" si="2"/>
        <v>25</v>
      </c>
      <c r="V5" s="4">
        <f t="shared" si="2"/>
        <v>35</v>
      </c>
      <c r="W5" s="4">
        <f t="shared" si="2"/>
        <v>40</v>
      </c>
      <c r="X5" s="4">
        <f t="shared" si="2"/>
        <v>45</v>
      </c>
      <c r="Y5" s="4">
        <f t="shared" si="2"/>
        <v>49</v>
      </c>
      <c r="Z5" s="4">
        <f t="shared" si="2"/>
        <v>50</v>
      </c>
    </row>
    <row r="6" spans="1:27" ht="15.6" x14ac:dyDescent="0.3">
      <c r="B6" s="51"/>
    </row>
    <row r="8" spans="1:27" x14ac:dyDescent="0.3">
      <c r="A8" t="s">
        <v>54</v>
      </c>
      <c r="B8">
        <f>SUMPRODUCT(B3:L3,B4:L4)</f>
        <v>20.339999999999996</v>
      </c>
    </row>
    <row r="9" spans="1:27" x14ac:dyDescent="0.3">
      <c r="A9" t="s">
        <v>2</v>
      </c>
      <c r="B9">
        <f>INDEX(B3:L3, MATCH(MAX(B4:L4), B4:L4, 0))</f>
        <v>21</v>
      </c>
    </row>
    <row r="10" spans="1:27" x14ac:dyDescent="0.3">
      <c r="A10" t="s">
        <v>5</v>
      </c>
      <c r="B10">
        <v>20.5</v>
      </c>
    </row>
    <row r="11" spans="1:27" x14ac:dyDescent="0.3">
      <c r="A11" t="s">
        <v>6</v>
      </c>
      <c r="B11">
        <f>MAX(B3:L3)-MIN(B3:L3)</f>
        <v>10</v>
      </c>
    </row>
    <row r="12" spans="1:27" x14ac:dyDescent="0.3">
      <c r="A12" t="s">
        <v>7</v>
      </c>
      <c r="B12">
        <f>SUMPRODUCT(B24:L24,B25:L25)-B8*B8</f>
        <v>5.5044000000000892</v>
      </c>
    </row>
    <row r="13" spans="1:27" x14ac:dyDescent="0.3">
      <c r="A13" t="s">
        <v>8</v>
      </c>
      <c r="B13">
        <f>SQRT(B12)</f>
        <v>2.3461457755220771</v>
      </c>
    </row>
    <row r="14" spans="1:27" ht="15.6" x14ac:dyDescent="0.3">
      <c r="A14" s="5" t="s">
        <v>9</v>
      </c>
      <c r="B14">
        <f>B13/B8*100</f>
        <v>11.534639997650332</v>
      </c>
    </row>
    <row r="23" spans="1:12" ht="15" thickBot="1" x14ac:dyDescent="0.35"/>
    <row r="24" spans="1:12" ht="18.600000000000001" thickBot="1" x14ac:dyDescent="0.35">
      <c r="A24" s="1"/>
      <c r="B24" s="2">
        <f>B3*B3</f>
        <v>225</v>
      </c>
      <c r="C24" s="2">
        <f>C3*C3</f>
        <v>256</v>
      </c>
      <c r="D24" s="2">
        <f t="shared" ref="D24:K24" si="3">D3*D3</f>
        <v>289</v>
      </c>
      <c r="E24" s="2">
        <f t="shared" si="3"/>
        <v>324</v>
      </c>
      <c r="F24" s="2">
        <f t="shared" si="3"/>
        <v>361</v>
      </c>
      <c r="G24" s="2">
        <f t="shared" si="3"/>
        <v>400</v>
      </c>
      <c r="H24" s="2">
        <f t="shared" si="3"/>
        <v>441</v>
      </c>
      <c r="I24" s="2">
        <f t="shared" si="3"/>
        <v>484</v>
      </c>
      <c r="J24" s="2">
        <f t="shared" si="3"/>
        <v>529</v>
      </c>
      <c r="K24" s="2">
        <f t="shared" si="3"/>
        <v>576</v>
      </c>
      <c r="L24" s="2">
        <f>L3*L3</f>
        <v>625</v>
      </c>
    </row>
    <row r="25" spans="1:12" ht="18.600000000000001" thickBot="1" x14ac:dyDescent="0.35">
      <c r="A25" s="6"/>
      <c r="B25" s="52">
        <f>B5</f>
        <v>0.02</v>
      </c>
      <c r="C25" s="4">
        <f>C5-B5</f>
        <v>3.9999999999999994E-2</v>
      </c>
      <c r="D25" s="4">
        <f>D5-C5</f>
        <v>8.0000000000000016E-2</v>
      </c>
      <c r="E25" s="4">
        <f t="shared" ref="E25:L25" si="4">E5-D5</f>
        <v>0.1</v>
      </c>
      <c r="F25" s="4">
        <f t="shared" si="4"/>
        <v>7.9999999999999988E-2</v>
      </c>
      <c r="G25" s="4">
        <f t="shared" si="4"/>
        <v>0.18</v>
      </c>
      <c r="H25" s="4">
        <f t="shared" si="4"/>
        <v>0.19999999999999996</v>
      </c>
      <c r="I25" s="4">
        <f t="shared" si="4"/>
        <v>9.9999999999999978E-2</v>
      </c>
      <c r="J25" s="4">
        <f t="shared" si="4"/>
        <v>9.9999999999999978E-2</v>
      </c>
      <c r="K25" s="4">
        <f t="shared" si="4"/>
        <v>7.999999999999996E-2</v>
      </c>
      <c r="L25" s="4">
        <f t="shared" si="4"/>
        <v>2.0000000000000018E-2</v>
      </c>
    </row>
  </sheetData>
  <mergeCells count="2">
    <mergeCell ref="O2:Z2"/>
    <mergeCell ref="A2:L2"/>
  </mergeCells>
  <conditionalFormatting sqref="B4:L4">
    <cfRule type="top10" dxfId="1" priority="3" rank="1"/>
  </conditionalFormatting>
  <conditionalFormatting sqref="B25:L25">
    <cfRule type="top10" dxfId="0" priority="1" rank="1"/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6" r:id="rId4">
          <objectPr defaultSize="0" autoPict="0" r:id="rId5">
            <anchor moveWithCells="1" sizeWithCells="1">
              <from>
                <xdr:col>14</xdr:col>
                <xdr:colOff>0</xdr:colOff>
                <xdr:row>2</xdr:row>
                <xdr:rowOff>0</xdr:rowOff>
              </from>
              <to>
                <xdr:col>14</xdr:col>
                <xdr:colOff>160020</xdr:colOff>
                <xdr:row>2</xdr:row>
                <xdr:rowOff>228600</xdr:rowOff>
              </to>
            </anchor>
          </objectPr>
        </oleObject>
      </mc:Choice>
      <mc:Fallback>
        <oleObject progId="Equation.3" shapeId="1026" r:id="rId4"/>
      </mc:Fallback>
    </mc:AlternateContent>
    <mc:AlternateContent xmlns:mc="http://schemas.openxmlformats.org/markup-compatibility/2006">
      <mc:Choice Requires="x14">
        <oleObject progId="Equation.3" shapeId="1025" r:id="rId6">
          <objectPr defaultSize="0" autoPict="0" r:id="rId7">
            <anchor moveWithCells="1" sizeWithCells="1">
              <from>
                <xdr:col>14</xdr:col>
                <xdr:colOff>0</xdr:colOff>
                <xdr:row>3</xdr:row>
                <xdr:rowOff>0</xdr:rowOff>
              </from>
              <to>
                <xdr:col>14</xdr:col>
                <xdr:colOff>160020</xdr:colOff>
                <xdr:row>4</xdr:row>
                <xdr:rowOff>30480</xdr:rowOff>
              </to>
            </anchor>
          </objectPr>
        </oleObject>
      </mc:Choice>
      <mc:Fallback>
        <oleObject progId="Equation.3" shapeId="1025" r:id="rId6"/>
      </mc:Fallback>
    </mc:AlternateContent>
    <mc:AlternateContent xmlns:mc="http://schemas.openxmlformats.org/markup-compatibility/2006">
      <mc:Choice Requires="x14">
        <oleObject progId="Equation.3" shapeId="1028" r:id="rId8">
          <objectPr defaultSize="0" autoPict="0" r:id="rId5">
            <anchor moveWithCells="1" sizeWithCells="1">
              <from>
                <xdr:col>14</xdr:col>
                <xdr:colOff>0</xdr:colOff>
                <xdr:row>2</xdr:row>
                <xdr:rowOff>0</xdr:rowOff>
              </from>
              <to>
                <xdr:col>14</xdr:col>
                <xdr:colOff>160020</xdr:colOff>
                <xdr:row>2</xdr:row>
                <xdr:rowOff>228600</xdr:rowOff>
              </to>
            </anchor>
          </objectPr>
        </oleObject>
      </mc:Choice>
      <mc:Fallback>
        <oleObject progId="Equation.3" shapeId="1028" r:id="rId8"/>
      </mc:Fallback>
    </mc:AlternateContent>
    <mc:AlternateContent xmlns:mc="http://schemas.openxmlformats.org/markup-compatibility/2006">
      <mc:Choice Requires="x14">
        <oleObject progId="Equation.3" shapeId="1031" r:id="rId9">
          <objectPr defaultSize="0" autoPict="0" r:id="rId10">
            <anchor moveWithCells="1" siz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160020</xdr:colOff>
                <xdr:row>23</xdr:row>
                <xdr:rowOff>228600</xdr:rowOff>
              </to>
            </anchor>
          </objectPr>
        </oleObject>
      </mc:Choice>
      <mc:Fallback>
        <oleObject progId="Equation.3" shapeId="1031" r:id="rId9"/>
      </mc:Fallback>
    </mc:AlternateContent>
    <mc:AlternateContent xmlns:mc="http://schemas.openxmlformats.org/markup-compatibility/2006">
      <mc:Choice Requires="x14">
        <oleObject progId="Equation.3" shapeId="1032" r:id="rId11">
          <objectPr defaultSize="0" autoPict="0" r:id="rId12">
            <anchor moveWithCells="1" siz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198120</xdr:colOff>
                <xdr:row>24</xdr:row>
                <xdr:rowOff>228600</xdr:rowOff>
              </to>
            </anchor>
          </objectPr>
        </oleObject>
      </mc:Choice>
      <mc:Fallback>
        <oleObject progId="Equation.3" shapeId="1032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7B16-2680-4CD4-A056-46E8A2448242}">
  <sheetPr>
    <tabColor rgb="FFFFFF00"/>
  </sheetPr>
  <dimension ref="A1:O33"/>
  <sheetViews>
    <sheetView topLeftCell="A4" zoomScaleNormal="100" workbookViewId="0">
      <selection activeCell="C24" sqref="C24"/>
    </sheetView>
  </sheetViews>
  <sheetFormatPr defaultColWidth="8.88671875" defaultRowHeight="14.4" x14ac:dyDescent="0.3"/>
  <cols>
    <col min="1" max="1" width="12.109375" customWidth="1"/>
    <col min="2" max="2" width="10.44140625" customWidth="1"/>
    <col min="6" max="6" width="9.6640625" customWidth="1"/>
    <col min="8" max="8" width="10.109375" customWidth="1"/>
    <col min="9" max="9" width="10.88671875" customWidth="1"/>
    <col min="10" max="10" width="11.109375" customWidth="1"/>
  </cols>
  <sheetData>
    <row r="1" spans="1:15" ht="210.75" customHeight="1" thickBot="1" x14ac:dyDescent="0.35"/>
    <row r="2" spans="1:15" ht="16.5" customHeight="1" x14ac:dyDescent="0.3">
      <c r="A2" s="26">
        <v>535</v>
      </c>
      <c r="B2" s="27">
        <v>278</v>
      </c>
      <c r="C2" s="27">
        <v>312</v>
      </c>
      <c r="D2" s="27">
        <v>368</v>
      </c>
      <c r="E2" s="27">
        <v>327</v>
      </c>
      <c r="F2" s="27">
        <v>482</v>
      </c>
      <c r="G2" s="27">
        <v>318</v>
      </c>
      <c r="H2" s="27">
        <v>531</v>
      </c>
      <c r="I2" s="27">
        <v>554</v>
      </c>
      <c r="J2" s="27">
        <v>898</v>
      </c>
      <c r="K2" s="27">
        <v>1030</v>
      </c>
      <c r="L2" s="27">
        <v>390</v>
      </c>
      <c r="M2" s="27">
        <v>334</v>
      </c>
      <c r="N2" s="27">
        <v>423</v>
      </c>
      <c r="O2" s="28">
        <v>393</v>
      </c>
    </row>
    <row r="3" spans="1:15" ht="16.5" customHeight="1" x14ac:dyDescent="0.3">
      <c r="A3" s="29">
        <v>1081</v>
      </c>
      <c r="B3" s="9">
        <v>493</v>
      </c>
      <c r="C3" s="9">
        <v>698</v>
      </c>
      <c r="D3" s="9">
        <v>312</v>
      </c>
      <c r="E3" s="9">
        <v>603</v>
      </c>
      <c r="F3" s="9">
        <v>372</v>
      </c>
      <c r="G3" s="9">
        <v>454</v>
      </c>
      <c r="H3" s="9">
        <v>379</v>
      </c>
      <c r="I3" s="9">
        <v>294</v>
      </c>
      <c r="J3" s="9">
        <v>343</v>
      </c>
      <c r="K3" s="9">
        <v>365</v>
      </c>
      <c r="L3" s="9">
        <v>341</v>
      </c>
      <c r="M3" s="9">
        <v>459</v>
      </c>
      <c r="N3" s="9">
        <v>278</v>
      </c>
      <c r="O3" s="30">
        <v>449</v>
      </c>
    </row>
    <row r="4" spans="1:15" ht="16.5" customHeight="1" x14ac:dyDescent="0.3">
      <c r="A4" s="29">
        <v>433</v>
      </c>
      <c r="B4" s="9">
        <v>250</v>
      </c>
      <c r="C4" s="9">
        <v>443</v>
      </c>
      <c r="D4" s="9">
        <v>447</v>
      </c>
      <c r="E4" s="9">
        <v>375</v>
      </c>
      <c r="F4" s="9">
        <v>271</v>
      </c>
      <c r="G4" s="9">
        <v>727</v>
      </c>
      <c r="H4" s="9">
        <v>334</v>
      </c>
      <c r="I4" s="9">
        <v>327</v>
      </c>
      <c r="J4" s="9">
        <v>501</v>
      </c>
      <c r="K4" s="9">
        <v>273</v>
      </c>
      <c r="L4" s="9">
        <v>871</v>
      </c>
      <c r="M4" s="9">
        <v>390</v>
      </c>
      <c r="N4" s="9">
        <v>582</v>
      </c>
      <c r="O4" s="30">
        <v>469</v>
      </c>
    </row>
    <row r="5" spans="1:15" ht="16.5" customHeight="1" thickBot="1" x14ac:dyDescent="0.35">
      <c r="A5" s="31">
        <v>448</v>
      </c>
      <c r="B5" s="32">
        <v>274</v>
      </c>
      <c r="C5" s="32">
        <v>495</v>
      </c>
      <c r="D5" s="32">
        <v>357</v>
      </c>
      <c r="E5" s="32">
        <v>546</v>
      </c>
      <c r="F5" s="33"/>
      <c r="G5" s="33"/>
      <c r="H5" s="33"/>
      <c r="I5" s="33"/>
      <c r="J5" s="33"/>
      <c r="K5" s="33"/>
      <c r="L5" s="33"/>
      <c r="M5" s="33"/>
      <c r="N5" s="33"/>
      <c r="O5" s="34"/>
    </row>
    <row r="6" spans="1:15" ht="16.5" customHeight="1" x14ac:dyDescent="0.3">
      <c r="A6" s="8"/>
      <c r="B6" s="8"/>
      <c r="C6" s="8"/>
      <c r="D6" s="8"/>
    </row>
    <row r="7" spans="1:15" ht="15.6" x14ac:dyDescent="0.35">
      <c r="A7" s="10" t="s">
        <v>12</v>
      </c>
      <c r="B7" s="11">
        <f>50</f>
        <v>50</v>
      </c>
      <c r="D7" s="23" t="s">
        <v>44</v>
      </c>
      <c r="E7" s="11">
        <f>0.25*B7</f>
        <v>12.5</v>
      </c>
      <c r="J7" s="35" t="s">
        <v>48</v>
      </c>
      <c r="K7" s="11">
        <f>C18</f>
        <v>325</v>
      </c>
    </row>
    <row r="8" spans="1:15" ht="16.8" x14ac:dyDescent="0.35">
      <c r="A8" s="10" t="s">
        <v>13</v>
      </c>
      <c r="B8" s="11">
        <f>MIN(A2:O5)</f>
        <v>250</v>
      </c>
      <c r="D8" s="23" t="s">
        <v>43</v>
      </c>
      <c r="E8" s="11">
        <f>0.5*B7</f>
        <v>25</v>
      </c>
      <c r="J8" s="35" t="s">
        <v>49</v>
      </c>
      <c r="K8" s="11">
        <f>F17</f>
        <v>10</v>
      </c>
    </row>
    <row r="9" spans="1:15" ht="15.6" x14ac:dyDescent="0.35">
      <c r="A9" s="10" t="s">
        <v>14</v>
      </c>
      <c r="B9" s="11">
        <f>MAX(A2:O5)</f>
        <v>1081</v>
      </c>
      <c r="D9" s="23" t="s">
        <v>41</v>
      </c>
      <c r="E9" s="11">
        <f>0.75*B7</f>
        <v>37.5</v>
      </c>
      <c r="G9" s="24" t="s">
        <v>36</v>
      </c>
      <c r="H9" s="11">
        <f>C18</f>
        <v>325</v>
      </c>
      <c r="J9" s="35" t="s">
        <v>50</v>
      </c>
      <c r="K9" s="11">
        <f>E18</f>
        <v>24</v>
      </c>
    </row>
    <row r="10" spans="1:15" ht="15.6" x14ac:dyDescent="0.35">
      <c r="A10" s="10" t="s">
        <v>11</v>
      </c>
      <c r="B10" s="11">
        <f>1+3.322*LOG10(B7)</f>
        <v>6.6439783544042541</v>
      </c>
      <c r="D10" s="16" t="s">
        <v>33</v>
      </c>
      <c r="E10" s="11">
        <f>C18</f>
        <v>325</v>
      </c>
      <c r="G10" s="24" t="s">
        <v>37</v>
      </c>
      <c r="H10" s="11">
        <f>E18</f>
        <v>24</v>
      </c>
      <c r="J10" s="35" t="s">
        <v>51</v>
      </c>
      <c r="K10" s="11">
        <f>C19</f>
        <v>475</v>
      </c>
    </row>
    <row r="11" spans="1:15" ht="16.8" x14ac:dyDescent="0.35">
      <c r="A11" s="10" t="s">
        <v>10</v>
      </c>
      <c r="B11" s="11">
        <f>(B9-B8)/B10</f>
        <v>125.07566335599739</v>
      </c>
      <c r="D11" s="16" t="s">
        <v>34</v>
      </c>
      <c r="E11" s="11">
        <f>E18</f>
        <v>24</v>
      </c>
      <c r="G11" s="24" t="s">
        <v>38</v>
      </c>
      <c r="H11" s="11">
        <f>E17</f>
        <v>10</v>
      </c>
      <c r="J11" s="35" t="s">
        <v>53</v>
      </c>
      <c r="K11" s="11">
        <f>F18</f>
        <v>34</v>
      </c>
    </row>
    <row r="12" spans="1:15" ht="16.8" x14ac:dyDescent="0.35">
      <c r="A12" s="25" t="s">
        <v>42</v>
      </c>
      <c r="B12" s="11">
        <v>150</v>
      </c>
      <c r="D12" s="16" t="s">
        <v>35</v>
      </c>
      <c r="E12" s="11">
        <f>F17</f>
        <v>10</v>
      </c>
      <c r="G12" s="24" t="s">
        <v>39</v>
      </c>
      <c r="H12" s="11">
        <f>E19</f>
        <v>10</v>
      </c>
      <c r="J12" s="35" t="s">
        <v>52</v>
      </c>
      <c r="K12" s="11">
        <f>E19</f>
        <v>10</v>
      </c>
    </row>
    <row r="13" spans="1:15" ht="15.6" x14ac:dyDescent="0.35">
      <c r="A13" s="10" t="s">
        <v>19</v>
      </c>
      <c r="B13" s="11">
        <v>175</v>
      </c>
    </row>
    <row r="15" spans="1:15" ht="30.75" customHeight="1" x14ac:dyDescent="0.3">
      <c r="B15" s="56" t="s">
        <v>31</v>
      </c>
      <c r="C15" s="61" t="s">
        <v>15</v>
      </c>
      <c r="D15" s="61"/>
      <c r="E15" s="58" t="s">
        <v>20</v>
      </c>
      <c r="F15" s="58" t="s">
        <v>21</v>
      </c>
      <c r="G15" s="58" t="s">
        <v>22</v>
      </c>
      <c r="H15" s="58" t="s">
        <v>23</v>
      </c>
      <c r="I15" s="58" t="s">
        <v>18</v>
      </c>
      <c r="J15" s="58" t="s">
        <v>27</v>
      </c>
    </row>
    <row r="16" spans="1:15" ht="15" thickBot="1" x14ac:dyDescent="0.35">
      <c r="B16" s="57"/>
      <c r="C16" s="14" t="s">
        <v>16</v>
      </c>
      <c r="D16" s="15" t="s">
        <v>17</v>
      </c>
      <c r="E16" s="59"/>
      <c r="F16" s="59"/>
      <c r="G16" s="59"/>
      <c r="H16" s="59"/>
      <c r="I16" s="59"/>
      <c r="J16" s="60"/>
    </row>
    <row r="17" spans="1:10" ht="15" thickTop="1" x14ac:dyDescent="0.3">
      <c r="A17" t="str">
        <f>_xlfn.CONCAT("[",C17,"; ",D17,")")</f>
        <v>[175; 325)</v>
      </c>
      <c r="B17" s="13"/>
      <c r="C17" s="13">
        <f>B13</f>
        <v>175</v>
      </c>
      <c r="D17" s="13">
        <f>C17+$B$12</f>
        <v>325</v>
      </c>
      <c r="E17" s="13">
        <f>COUNTIFS($A$2:$O$5,"&gt;="&amp;C17,$A$2:$O$5,"&lt;"&amp;D17)</f>
        <v>10</v>
      </c>
      <c r="F17" s="13">
        <f>E17</f>
        <v>10</v>
      </c>
      <c r="G17" s="13">
        <f>E17/$B$7</f>
        <v>0.2</v>
      </c>
      <c r="H17" s="13">
        <f>G17</f>
        <v>0.2</v>
      </c>
      <c r="I17" s="13">
        <f>(C17+D17)/2</f>
        <v>250</v>
      </c>
      <c r="J17" s="12">
        <f>I17*I17</f>
        <v>62500</v>
      </c>
    </row>
    <row r="18" spans="1:10" ht="15.6" x14ac:dyDescent="0.35">
      <c r="A18" s="18" t="str">
        <f t="shared" ref="A18:A22" si="0">_xlfn.CONCAT("[",C18,"; ",D18,")")</f>
        <v>[325; 475)</v>
      </c>
      <c r="B18" s="12" t="s">
        <v>32</v>
      </c>
      <c r="C18" s="12">
        <f>D17</f>
        <v>325</v>
      </c>
      <c r="D18" s="13">
        <f>C18+$B$12</f>
        <v>475</v>
      </c>
      <c r="E18" s="13">
        <f t="shared" ref="E18:E22" si="1">COUNTIFS($A$2:$O$5,"&gt;="&amp;C18,$A$2:$O$5,"&lt;"&amp;D18)</f>
        <v>24</v>
      </c>
      <c r="F18" s="13">
        <f>E18+F17</f>
        <v>34</v>
      </c>
      <c r="G18" s="13">
        <f t="shared" ref="G18:G22" si="2">E18/$B$7</f>
        <v>0.48</v>
      </c>
      <c r="H18" s="13">
        <f>G18+H17</f>
        <v>0.67999999999999994</v>
      </c>
      <c r="I18" s="13">
        <f t="shared" ref="I18:I21" si="3">(C18+D18)/2</f>
        <v>400</v>
      </c>
      <c r="J18" s="12">
        <f t="shared" ref="J18:J22" si="4">I18*I18</f>
        <v>160000</v>
      </c>
    </row>
    <row r="19" spans="1:10" ht="15.6" x14ac:dyDescent="0.35">
      <c r="A19" t="str">
        <f t="shared" si="0"/>
        <v>[475; 625)</v>
      </c>
      <c r="B19" s="12" t="s">
        <v>40</v>
      </c>
      <c r="C19" s="12">
        <f t="shared" ref="C19:C22" si="5">D18</f>
        <v>475</v>
      </c>
      <c r="D19" s="13">
        <f>C19+$B$12</f>
        <v>625</v>
      </c>
      <c r="E19" s="13">
        <f t="shared" si="1"/>
        <v>10</v>
      </c>
      <c r="F19" s="13">
        <f t="shared" ref="F19:F22" si="6">E19+F18</f>
        <v>44</v>
      </c>
      <c r="G19" s="13">
        <f t="shared" si="2"/>
        <v>0.2</v>
      </c>
      <c r="H19" s="13">
        <f t="shared" ref="H19:H22" si="7">G19+H18</f>
        <v>0.87999999999999989</v>
      </c>
      <c r="I19" s="13">
        <f t="shared" si="3"/>
        <v>550</v>
      </c>
      <c r="J19" s="12">
        <f t="shared" si="4"/>
        <v>302500</v>
      </c>
    </row>
    <row r="20" spans="1:10" x14ac:dyDescent="0.3">
      <c r="A20" t="str">
        <f t="shared" si="0"/>
        <v>[625; 775)</v>
      </c>
      <c r="B20" s="12"/>
      <c r="C20" s="12">
        <f t="shared" si="5"/>
        <v>625</v>
      </c>
      <c r="D20" s="13">
        <f>C20+$B$12</f>
        <v>775</v>
      </c>
      <c r="E20" s="13">
        <f t="shared" si="1"/>
        <v>2</v>
      </c>
      <c r="F20" s="13">
        <f t="shared" si="6"/>
        <v>46</v>
      </c>
      <c r="G20" s="13">
        <f t="shared" si="2"/>
        <v>0.04</v>
      </c>
      <c r="H20" s="13">
        <f t="shared" si="7"/>
        <v>0.91999999999999993</v>
      </c>
      <c r="I20" s="13">
        <f t="shared" si="3"/>
        <v>700</v>
      </c>
      <c r="J20" s="12">
        <f t="shared" si="4"/>
        <v>490000</v>
      </c>
    </row>
    <row r="21" spans="1:10" x14ac:dyDescent="0.3">
      <c r="A21" t="str">
        <f t="shared" si="0"/>
        <v>[775; 925)</v>
      </c>
      <c r="B21" s="12"/>
      <c r="C21" s="12">
        <f t="shared" si="5"/>
        <v>775</v>
      </c>
      <c r="D21" s="13">
        <f>C21+$B$12</f>
        <v>925</v>
      </c>
      <c r="E21" s="13">
        <f t="shared" si="1"/>
        <v>2</v>
      </c>
      <c r="F21" s="13">
        <f t="shared" si="6"/>
        <v>48</v>
      </c>
      <c r="G21" s="13">
        <f t="shared" si="2"/>
        <v>0.04</v>
      </c>
      <c r="H21" s="13">
        <f t="shared" si="7"/>
        <v>0.96</v>
      </c>
      <c r="I21" s="13">
        <f t="shared" si="3"/>
        <v>850</v>
      </c>
      <c r="J21" s="12">
        <f t="shared" si="4"/>
        <v>722500</v>
      </c>
    </row>
    <row r="22" spans="1:10" x14ac:dyDescent="0.3">
      <c r="A22" t="str">
        <f t="shared" si="0"/>
        <v>[925; 1082)</v>
      </c>
      <c r="B22" s="12"/>
      <c r="C22" s="12">
        <f t="shared" si="5"/>
        <v>925</v>
      </c>
      <c r="D22" s="13">
        <f>B9+1</f>
        <v>1082</v>
      </c>
      <c r="E22" s="13">
        <f t="shared" si="1"/>
        <v>2</v>
      </c>
      <c r="F22" s="13">
        <f t="shared" si="6"/>
        <v>50</v>
      </c>
      <c r="G22" s="13">
        <f t="shared" si="2"/>
        <v>0.04</v>
      </c>
      <c r="H22" s="13">
        <f t="shared" si="7"/>
        <v>1</v>
      </c>
      <c r="I22" s="13">
        <f>(C22+D22-1)/2</f>
        <v>1003</v>
      </c>
      <c r="J22" s="12">
        <f t="shared" si="4"/>
        <v>1006009</v>
      </c>
    </row>
    <row r="23" spans="1:10" x14ac:dyDescent="0.3">
      <c r="E23" s="12">
        <f>SUM(E17:E22)</f>
        <v>50</v>
      </c>
    </row>
    <row r="25" spans="1:10" ht="21.6" x14ac:dyDescent="0.45">
      <c r="A25" s="55" t="s">
        <v>45</v>
      </c>
      <c r="B25" s="55"/>
    </row>
    <row r="26" spans="1:10" x14ac:dyDescent="0.3">
      <c r="A26" s="16" t="s">
        <v>24</v>
      </c>
      <c r="B26" s="36">
        <f>E10+(0.5*B7-E12)/E11*B12</f>
        <v>418.75</v>
      </c>
    </row>
    <row r="27" spans="1:10" x14ac:dyDescent="0.3">
      <c r="A27" s="24" t="s">
        <v>25</v>
      </c>
      <c r="B27" s="36">
        <f>H9+(H10-H11)/(H10-H11+H10-H12)*B12</f>
        <v>400</v>
      </c>
    </row>
    <row r="28" spans="1:10" x14ac:dyDescent="0.3">
      <c r="A28" s="19" t="s">
        <v>26</v>
      </c>
      <c r="B28" s="36">
        <f>SUMPRODUCT(I17:I22,G17:G22)</f>
        <v>454.12</v>
      </c>
    </row>
    <row r="29" spans="1:10" ht="16.2" x14ac:dyDescent="0.3">
      <c r="A29" s="20" t="s">
        <v>28</v>
      </c>
      <c r="B29" s="36">
        <f>SUMPRODUCT(J17:J22,G17:G22)-B28*B28</f>
        <v>32315.38559999998</v>
      </c>
    </row>
    <row r="30" spans="1:10" x14ac:dyDescent="0.3">
      <c r="A30" s="21" t="s">
        <v>29</v>
      </c>
      <c r="B30" s="36">
        <f>SQRT(B29)</f>
        <v>179.7648063442897</v>
      </c>
    </row>
    <row r="31" spans="1:10" x14ac:dyDescent="0.3">
      <c r="A31" s="22" t="s">
        <v>30</v>
      </c>
      <c r="B31" s="36">
        <f>B30/B28*100</f>
        <v>39.585309245197237</v>
      </c>
    </row>
    <row r="32" spans="1:10" ht="15.6" x14ac:dyDescent="0.35">
      <c r="A32" s="35" t="s">
        <v>46</v>
      </c>
      <c r="B32" s="36">
        <f>K7+B12*(E7-K8)/K9</f>
        <v>340.625</v>
      </c>
    </row>
    <row r="33" spans="1:2" ht="15.6" x14ac:dyDescent="0.35">
      <c r="A33" s="35" t="s">
        <v>47</v>
      </c>
      <c r="B33" s="36">
        <f>K10+B12*(E9-K11)/K12</f>
        <v>527.5</v>
      </c>
    </row>
  </sheetData>
  <mergeCells count="9">
    <mergeCell ref="A25:B25"/>
    <mergeCell ref="B15:B16"/>
    <mergeCell ref="I15:I16"/>
    <mergeCell ref="J15:J16"/>
    <mergeCell ref="E15:E16"/>
    <mergeCell ref="F15:F16"/>
    <mergeCell ref="G15:G16"/>
    <mergeCell ref="H15:H16"/>
    <mergeCell ref="C15:D15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2049" r:id="rId4">
          <objectPr defaultSize="0" autoPict="0" r:id="rId5">
            <anchor moveWithCells="1" sizeWithCells="1">
              <from>
                <xdr:col>10</xdr:col>
                <xdr:colOff>198120</xdr:colOff>
                <xdr:row>17</xdr:row>
                <xdr:rowOff>7620</xdr:rowOff>
              </from>
              <to>
                <xdr:col>15</xdr:col>
                <xdr:colOff>182880</xdr:colOff>
                <xdr:row>19</xdr:row>
                <xdr:rowOff>30480</xdr:rowOff>
              </to>
            </anchor>
          </objectPr>
        </oleObject>
      </mc:Choice>
      <mc:Fallback>
        <oleObject progId="Equation.DSMT4" shapeId="2049" r:id="rId4"/>
      </mc:Fallback>
    </mc:AlternateContent>
    <mc:AlternateContent xmlns:mc="http://schemas.openxmlformats.org/markup-compatibility/2006">
      <mc:Choice Requires="x14">
        <oleObject progId="Equation.DSMT4" shapeId="2054" r:id="rId6">
          <objectPr defaultSize="0" autoPict="0" r:id="rId7">
            <anchor moveWithCells="1" sizeWithCells="1">
              <from>
                <xdr:col>2</xdr:col>
                <xdr:colOff>259080</xdr:colOff>
                <xdr:row>24</xdr:row>
                <xdr:rowOff>0</xdr:rowOff>
              </from>
              <to>
                <xdr:col>5</xdr:col>
                <xdr:colOff>563880</xdr:colOff>
                <xdr:row>26</xdr:row>
                <xdr:rowOff>76200</xdr:rowOff>
              </to>
            </anchor>
          </objectPr>
        </oleObject>
      </mc:Choice>
      <mc:Fallback>
        <oleObject progId="Equation.DSMT4" shapeId="2054" r:id="rId6"/>
      </mc:Fallback>
    </mc:AlternateContent>
    <mc:AlternateContent xmlns:mc="http://schemas.openxmlformats.org/markup-compatibility/2006">
      <mc:Choice Requires="x14">
        <oleObject progId="Equation.DSMT4" shapeId="2055" r:id="rId8">
          <objectPr defaultSize="0" autoPict="0" r:id="rId9">
            <anchor moveWithCells="1" sizeWithCells="1">
              <from>
                <xdr:col>2</xdr:col>
                <xdr:colOff>259080</xdr:colOff>
                <xdr:row>26</xdr:row>
                <xdr:rowOff>30480</xdr:rowOff>
              </from>
              <to>
                <xdr:col>7</xdr:col>
                <xdr:colOff>198120</xdr:colOff>
                <xdr:row>28</xdr:row>
                <xdr:rowOff>106680</xdr:rowOff>
              </to>
            </anchor>
          </objectPr>
        </oleObject>
      </mc:Choice>
      <mc:Fallback>
        <oleObject progId="Equation.DSMT4" shapeId="2055" r:id="rId8"/>
      </mc:Fallback>
    </mc:AlternateContent>
    <mc:AlternateContent xmlns:mc="http://schemas.openxmlformats.org/markup-compatibility/2006">
      <mc:Choice Requires="x14">
        <oleObject progId="Equation.DSMT4" shapeId="2056" r:id="rId10">
          <objectPr defaultSize="0" autoPict="0" r:id="rId11">
            <anchor moveWithCells="1" sizeWithCells="1">
              <from>
                <xdr:col>7</xdr:col>
                <xdr:colOff>335280</xdr:colOff>
                <xdr:row>23</xdr:row>
                <xdr:rowOff>160020</xdr:rowOff>
              </from>
              <to>
                <xdr:col>14</xdr:col>
                <xdr:colOff>7620</xdr:colOff>
                <xdr:row>26</xdr:row>
                <xdr:rowOff>30480</xdr:rowOff>
              </to>
            </anchor>
          </objectPr>
        </oleObject>
      </mc:Choice>
      <mc:Fallback>
        <oleObject progId="Equation.DSMT4" shapeId="2056" r:id="rId10"/>
      </mc:Fallback>
    </mc:AlternateContent>
    <mc:AlternateContent xmlns:mc="http://schemas.openxmlformats.org/markup-compatibility/2006">
      <mc:Choice Requires="x14">
        <oleObject progId="Equation.DSMT4" shapeId="2057" r:id="rId12">
          <objectPr defaultSize="0" autoPict="0" r:id="rId13">
            <anchor moveWithCells="1" sizeWithCells="1">
              <from>
                <xdr:col>7</xdr:col>
                <xdr:colOff>304800</xdr:colOff>
                <xdr:row>27</xdr:row>
                <xdr:rowOff>7620</xdr:rowOff>
              </from>
              <to>
                <xdr:col>16</xdr:col>
                <xdr:colOff>274320</xdr:colOff>
                <xdr:row>29</xdr:row>
                <xdr:rowOff>76200</xdr:rowOff>
              </to>
            </anchor>
          </objectPr>
        </oleObject>
      </mc:Choice>
      <mc:Fallback>
        <oleObject progId="Equation.DSMT4" shapeId="2057" r:id="rId12"/>
      </mc:Fallback>
    </mc:AlternateContent>
    <mc:AlternateContent xmlns:mc="http://schemas.openxmlformats.org/markup-compatibility/2006">
      <mc:Choice Requires="x14">
        <oleObject progId="Equation.DSMT4" shapeId="2058" r:id="rId14">
          <objectPr defaultSize="0" autoPict="0" r:id="rId15">
            <anchor moveWithCells="1" sizeWithCells="1">
              <from>
                <xdr:col>7</xdr:col>
                <xdr:colOff>381000</xdr:colOff>
                <xdr:row>30</xdr:row>
                <xdr:rowOff>7620</xdr:rowOff>
              </from>
              <to>
                <xdr:col>17</xdr:col>
                <xdr:colOff>601980</xdr:colOff>
                <xdr:row>32</xdr:row>
                <xdr:rowOff>30480</xdr:rowOff>
              </to>
            </anchor>
          </objectPr>
        </oleObject>
      </mc:Choice>
      <mc:Fallback>
        <oleObject progId="Equation.DSMT4" shapeId="2058" r:id="rId14"/>
      </mc:Fallback>
    </mc:AlternateContent>
    <mc:AlternateContent xmlns:mc="http://schemas.openxmlformats.org/markup-compatibility/2006">
      <mc:Choice Requires="x14">
        <oleObject progId="Equation.DSMT4" shapeId="2059" r:id="rId16">
          <objectPr defaultSize="0" autoPict="0" r:id="rId17">
            <anchor moveWithCells="1" sizeWithCells="1">
              <from>
                <xdr:col>2</xdr:col>
                <xdr:colOff>274320</xdr:colOff>
                <xdr:row>28</xdr:row>
                <xdr:rowOff>106680</xdr:rowOff>
              </from>
              <to>
                <xdr:col>5</xdr:col>
                <xdr:colOff>571500</xdr:colOff>
                <xdr:row>30</xdr:row>
                <xdr:rowOff>152400</xdr:rowOff>
              </to>
            </anchor>
          </objectPr>
        </oleObject>
      </mc:Choice>
      <mc:Fallback>
        <oleObject progId="Equation.DSMT4" shapeId="2059" r:id="rId16"/>
      </mc:Fallback>
    </mc:AlternateContent>
    <mc:AlternateContent xmlns:mc="http://schemas.openxmlformats.org/markup-compatibility/2006">
      <mc:Choice Requires="x14">
        <oleObject progId="Equation.DSMT4" shapeId="2060" r:id="rId18">
          <objectPr defaultSize="0" autoPict="0" r:id="rId19">
            <anchor moveWithCells="1" sizeWithCells="1">
              <from>
                <xdr:col>2</xdr:col>
                <xdr:colOff>297180</xdr:colOff>
                <xdr:row>30</xdr:row>
                <xdr:rowOff>182880</xdr:rowOff>
              </from>
              <to>
                <xdr:col>4</xdr:col>
                <xdr:colOff>525780</xdr:colOff>
                <xdr:row>33</xdr:row>
                <xdr:rowOff>38100</xdr:rowOff>
              </to>
            </anchor>
          </objectPr>
        </oleObject>
      </mc:Choice>
      <mc:Fallback>
        <oleObject progId="Equation.DSMT4" shapeId="2060" r:id="rId18"/>
      </mc:Fallback>
    </mc:AlternateContent>
    <mc:AlternateContent xmlns:mc="http://schemas.openxmlformats.org/markup-compatibility/2006">
      <mc:Choice Requires="x14">
        <oleObject progId="Equation.DSMT4" shapeId="2061" r:id="rId20">
          <objectPr defaultSize="0" autoPict="0" r:id="rId21">
            <anchor moveWithCells="1" sizeWithCells="1">
              <from>
                <xdr:col>7</xdr:col>
                <xdr:colOff>426720</xdr:colOff>
                <xdr:row>36</xdr:row>
                <xdr:rowOff>106680</xdr:rowOff>
              </from>
              <to>
                <xdr:col>12</xdr:col>
                <xdr:colOff>541020</xdr:colOff>
                <xdr:row>39</xdr:row>
                <xdr:rowOff>30480</xdr:rowOff>
              </to>
            </anchor>
          </objectPr>
        </oleObject>
      </mc:Choice>
      <mc:Fallback>
        <oleObject progId="Equation.DSMT4" shapeId="2061" r:id="rId20"/>
      </mc:Fallback>
    </mc:AlternateContent>
    <mc:AlternateContent xmlns:mc="http://schemas.openxmlformats.org/markup-compatibility/2006">
      <mc:Choice Requires="x14">
        <oleObject progId="Equation.DSMT4" shapeId="2062" r:id="rId22">
          <objectPr defaultSize="0" autoPict="0" r:id="rId23">
            <anchor moveWithCells="1" sizeWithCells="1">
              <from>
                <xdr:col>7</xdr:col>
                <xdr:colOff>426720</xdr:colOff>
                <xdr:row>32</xdr:row>
                <xdr:rowOff>144780</xdr:rowOff>
              </from>
              <to>
                <xdr:col>18</xdr:col>
                <xdr:colOff>114300</xdr:colOff>
                <xdr:row>33</xdr:row>
                <xdr:rowOff>121920</xdr:rowOff>
              </to>
            </anchor>
          </objectPr>
        </oleObject>
      </mc:Choice>
      <mc:Fallback>
        <oleObject progId="Equation.DSMT4" shapeId="2062" r:id="rId22"/>
      </mc:Fallback>
    </mc:AlternateContent>
    <mc:AlternateContent xmlns:mc="http://schemas.openxmlformats.org/markup-compatibility/2006">
      <mc:Choice Requires="x14">
        <oleObject progId="Equation.DSMT4" shapeId="2063" r:id="rId24">
          <objectPr defaultSize="0" autoPict="0" r:id="rId25">
            <anchor moveWithCells="1" sizeWithCells="1">
              <from>
                <xdr:col>7</xdr:col>
                <xdr:colOff>426720</xdr:colOff>
                <xdr:row>34</xdr:row>
                <xdr:rowOff>106680</xdr:rowOff>
              </from>
              <to>
                <xdr:col>10</xdr:col>
                <xdr:colOff>601980</xdr:colOff>
                <xdr:row>36</xdr:row>
                <xdr:rowOff>30480</xdr:rowOff>
              </to>
            </anchor>
          </objectPr>
        </oleObject>
      </mc:Choice>
      <mc:Fallback>
        <oleObject progId="Equation.DSMT4" shapeId="2063" r:id="rId24"/>
      </mc:Fallback>
    </mc:AlternateContent>
    <mc:AlternateContent xmlns:mc="http://schemas.openxmlformats.org/markup-compatibility/2006">
      <mc:Choice Requires="x14">
        <oleObject progId="Equation.DSMT4" shapeId="2064" r:id="rId26">
          <objectPr defaultSize="0" autoPict="0" r:id="rId27">
            <anchor moveWithCells="1" sizeWithCells="1">
              <from>
                <xdr:col>7</xdr:col>
                <xdr:colOff>449580</xdr:colOff>
                <xdr:row>39</xdr:row>
                <xdr:rowOff>68580</xdr:rowOff>
              </from>
              <to>
                <xdr:col>14</xdr:col>
                <xdr:colOff>182880</xdr:colOff>
                <xdr:row>43</xdr:row>
                <xdr:rowOff>7620</xdr:rowOff>
              </to>
            </anchor>
          </objectPr>
        </oleObject>
      </mc:Choice>
      <mc:Fallback>
        <oleObject progId="Equation.DSMT4" shapeId="2064" r:id="rId26"/>
      </mc:Fallback>
    </mc:AlternateContent>
    <mc:AlternateContent xmlns:mc="http://schemas.openxmlformats.org/markup-compatibility/2006">
      <mc:Choice Requires="x14">
        <oleObject progId="Equation.DSMT4" shapeId="2065" r:id="rId28">
          <objectPr defaultSize="0" autoPict="0" r:id="rId29">
            <anchor moveWithCells="1" sizeWithCells="1">
              <from>
                <xdr:col>2</xdr:col>
                <xdr:colOff>228600</xdr:colOff>
                <xdr:row>36</xdr:row>
                <xdr:rowOff>30480</xdr:rowOff>
              </from>
              <to>
                <xdr:col>5</xdr:col>
                <xdr:colOff>426720</xdr:colOff>
                <xdr:row>39</xdr:row>
                <xdr:rowOff>68580</xdr:rowOff>
              </to>
            </anchor>
          </objectPr>
        </oleObject>
      </mc:Choice>
      <mc:Fallback>
        <oleObject progId="Equation.DSMT4" shapeId="2065" r:id="rId28"/>
      </mc:Fallback>
    </mc:AlternateContent>
    <mc:AlternateContent xmlns:mc="http://schemas.openxmlformats.org/markup-compatibility/2006">
      <mc:Choice Requires="x14">
        <oleObject progId="Equation.DSMT4" shapeId="2066" r:id="rId30">
          <objectPr defaultSize="0" autoPict="0" r:id="rId31">
            <anchor moveWithCells="1" sizeWithCells="1">
              <from>
                <xdr:col>2</xdr:col>
                <xdr:colOff>259080</xdr:colOff>
                <xdr:row>32</xdr:row>
                <xdr:rowOff>144780</xdr:rowOff>
              </from>
              <to>
                <xdr:col>5</xdr:col>
                <xdr:colOff>525780</xdr:colOff>
                <xdr:row>36</xdr:row>
                <xdr:rowOff>68580</xdr:rowOff>
              </to>
            </anchor>
          </objectPr>
        </oleObject>
      </mc:Choice>
      <mc:Fallback>
        <oleObject progId="Equation.DSMT4" shapeId="2066" r:id="rId3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6ECB-414F-4ACA-BBEF-0D2B34E43AA5}">
  <sheetPr>
    <tabColor rgb="FFFF7C80"/>
  </sheetPr>
  <dimension ref="A1:N39"/>
  <sheetViews>
    <sheetView topLeftCell="A2" zoomScaleNormal="100" workbookViewId="0">
      <selection activeCell="E37" sqref="E37"/>
    </sheetView>
  </sheetViews>
  <sheetFormatPr defaultColWidth="8.88671875" defaultRowHeight="14.4" x14ac:dyDescent="0.3"/>
  <cols>
    <col min="1" max="1" width="15" customWidth="1"/>
    <col min="2" max="2" width="14.88671875" customWidth="1"/>
    <col min="3" max="3" width="6.44140625" customWidth="1"/>
    <col min="4" max="4" width="10.109375" customWidth="1"/>
    <col min="5" max="5" width="11.33203125" customWidth="1"/>
    <col min="6" max="7" width="11.6640625" customWidth="1"/>
    <col min="9" max="9" width="13.6640625" customWidth="1"/>
    <col min="10" max="10" width="11.44140625" customWidth="1"/>
    <col min="11" max="11" width="14.88671875" customWidth="1"/>
    <col min="12" max="12" width="12.44140625" customWidth="1"/>
    <col min="13" max="13" width="10" customWidth="1"/>
  </cols>
  <sheetData>
    <row r="1" spans="1:14" ht="159" customHeight="1" x14ac:dyDescent="0.3"/>
    <row r="2" spans="1:14" ht="15.75" customHeight="1" x14ac:dyDescent="0.3"/>
    <row r="3" spans="1:14" ht="15.75" customHeight="1" x14ac:dyDescent="0.3">
      <c r="A3" s="5" t="s">
        <v>56</v>
      </c>
    </row>
    <row r="4" spans="1:14" ht="15.75" customHeight="1" x14ac:dyDescent="0.3">
      <c r="A4" s="62" t="s">
        <v>57</v>
      </c>
      <c r="B4" s="62" t="s">
        <v>55</v>
      </c>
    </row>
    <row r="5" spans="1:14" ht="15.75" customHeight="1" thickBot="1" x14ac:dyDescent="0.35">
      <c r="A5" s="63"/>
      <c r="B5" s="63"/>
    </row>
    <row r="6" spans="1:14" ht="16.2" thickTop="1" x14ac:dyDescent="0.3">
      <c r="A6" s="38">
        <v>12</v>
      </c>
      <c r="B6" s="38">
        <v>12.45</v>
      </c>
      <c r="C6" s="42"/>
    </row>
    <row r="7" spans="1:14" ht="15.6" x14ac:dyDescent="0.35">
      <c r="A7" s="37">
        <v>5</v>
      </c>
      <c r="B7" s="37">
        <v>3.254</v>
      </c>
      <c r="C7" s="42"/>
      <c r="D7" s="10" t="s">
        <v>12</v>
      </c>
      <c r="E7" s="11">
        <f>SUM(A6:A39)</f>
        <v>330</v>
      </c>
      <c r="G7" s="23" t="s">
        <v>44</v>
      </c>
      <c r="H7" s="11">
        <f>1/4*E7</f>
        <v>82.5</v>
      </c>
      <c r="M7" s="35" t="s">
        <v>48</v>
      </c>
      <c r="N7" s="11">
        <f>F21</f>
        <v>10.5</v>
      </c>
    </row>
    <row r="8" spans="1:14" ht="16.8" x14ac:dyDescent="0.35">
      <c r="A8" s="37">
        <v>14</v>
      </c>
      <c r="B8" s="37">
        <v>13.384</v>
      </c>
      <c r="C8" s="42"/>
      <c r="D8" s="10" t="s">
        <v>13</v>
      </c>
      <c r="E8" s="11">
        <f>MIN(B6:B39)</f>
        <v>2.5</v>
      </c>
      <c r="G8" s="23" t="s">
        <v>43</v>
      </c>
      <c r="H8" s="11">
        <f>1/2*E7</f>
        <v>165</v>
      </c>
      <c r="M8" s="35" t="s">
        <v>49</v>
      </c>
      <c r="N8" s="11">
        <f>I20</f>
        <v>80</v>
      </c>
    </row>
    <row r="9" spans="1:14" ht="15.6" x14ac:dyDescent="0.35">
      <c r="A9" s="37">
        <v>35</v>
      </c>
      <c r="B9" s="37">
        <v>16.986999999999998</v>
      </c>
      <c r="C9" s="42"/>
      <c r="D9" s="10" t="s">
        <v>14</v>
      </c>
      <c r="E9" s="11">
        <f>MAX(A6:A39)</f>
        <v>35</v>
      </c>
      <c r="G9" s="23" t="s">
        <v>41</v>
      </c>
      <c r="H9" s="11">
        <f>3/4*E7</f>
        <v>247.5</v>
      </c>
      <c r="J9" s="24" t="s">
        <v>36</v>
      </c>
      <c r="K9" s="11">
        <f>F21</f>
        <v>10.5</v>
      </c>
      <c r="M9" s="35" t="s">
        <v>50</v>
      </c>
      <c r="N9" s="11">
        <f>H21</f>
        <v>66</v>
      </c>
    </row>
    <row r="10" spans="1:14" ht="15.6" x14ac:dyDescent="0.35">
      <c r="A10" s="37">
        <v>10</v>
      </c>
      <c r="B10" s="37">
        <v>8.9909999999999997</v>
      </c>
      <c r="C10" s="42"/>
      <c r="D10" s="10" t="s">
        <v>11</v>
      </c>
      <c r="E10" s="11">
        <v>11</v>
      </c>
      <c r="G10" s="16" t="s">
        <v>33</v>
      </c>
      <c r="H10" s="11">
        <f>F22</f>
        <v>12.5</v>
      </c>
      <c r="J10" s="24" t="s">
        <v>37</v>
      </c>
      <c r="K10" s="11">
        <f>H21</f>
        <v>66</v>
      </c>
      <c r="M10" s="35" t="s">
        <v>51</v>
      </c>
      <c r="N10" s="11">
        <f>G22</f>
        <v>14.5</v>
      </c>
    </row>
    <row r="11" spans="1:14" ht="16.8" x14ac:dyDescent="0.35">
      <c r="A11" s="37">
        <v>5</v>
      </c>
      <c r="B11" s="37">
        <v>24.5</v>
      </c>
      <c r="C11" s="42"/>
      <c r="D11" s="10" t="s">
        <v>10</v>
      </c>
      <c r="E11" s="11">
        <f>(E9-E8)/E10</f>
        <v>2.9545454545454546</v>
      </c>
      <c r="G11" s="16" t="s">
        <v>34</v>
      </c>
      <c r="H11" s="11">
        <f>H22</f>
        <v>58</v>
      </c>
      <c r="J11" s="24" t="s">
        <v>38</v>
      </c>
      <c r="K11" s="11">
        <f>H20</f>
        <v>27</v>
      </c>
      <c r="M11" s="35" t="s">
        <v>53</v>
      </c>
      <c r="N11" s="11">
        <f>I22</f>
        <v>204</v>
      </c>
    </row>
    <row r="12" spans="1:14" ht="16.8" x14ac:dyDescent="0.35">
      <c r="A12" s="37">
        <v>13</v>
      </c>
      <c r="B12" s="37">
        <v>12.44</v>
      </c>
      <c r="C12" s="42"/>
      <c r="D12" s="25" t="s">
        <v>42</v>
      </c>
      <c r="E12" s="11">
        <v>2</v>
      </c>
      <c r="G12" s="16" t="s">
        <v>35</v>
      </c>
      <c r="H12" s="11">
        <f>I21</f>
        <v>146</v>
      </c>
      <c r="J12" s="24" t="s">
        <v>39</v>
      </c>
      <c r="K12" s="11">
        <f>H22</f>
        <v>58</v>
      </c>
      <c r="M12" s="35" t="s">
        <v>52</v>
      </c>
      <c r="N12" s="11">
        <f>H23</f>
        <v>52</v>
      </c>
    </row>
    <row r="13" spans="1:14" ht="15.6" x14ac:dyDescent="0.35">
      <c r="A13" s="37">
        <v>6</v>
      </c>
      <c r="B13" s="37">
        <v>14.771000000000001</v>
      </c>
      <c r="C13" s="42"/>
      <c r="D13" s="10" t="s">
        <v>19</v>
      </c>
      <c r="E13" s="11">
        <f>E8</f>
        <v>2.5</v>
      </c>
    </row>
    <row r="14" spans="1:14" ht="15.6" x14ac:dyDescent="0.3">
      <c r="A14" s="37">
        <v>5</v>
      </c>
      <c r="B14" s="37">
        <v>20.577999999999999</v>
      </c>
      <c r="C14" s="42"/>
    </row>
    <row r="15" spans="1:14" ht="15.75" customHeight="1" x14ac:dyDescent="0.3">
      <c r="A15" s="37">
        <v>7</v>
      </c>
      <c r="B15" s="37">
        <v>6.1539999999999999</v>
      </c>
      <c r="C15" s="42"/>
      <c r="E15" s="67" t="s">
        <v>31</v>
      </c>
      <c r="F15" s="69" t="s">
        <v>61</v>
      </c>
      <c r="G15" s="70"/>
      <c r="H15" s="60" t="s">
        <v>20</v>
      </c>
      <c r="I15" s="60" t="s">
        <v>21</v>
      </c>
      <c r="J15" s="60" t="s">
        <v>22</v>
      </c>
      <c r="K15" s="60" t="s">
        <v>23</v>
      </c>
      <c r="L15" s="60" t="s">
        <v>18</v>
      </c>
      <c r="M15" s="65" t="s">
        <v>27</v>
      </c>
    </row>
    <row r="16" spans="1:14" ht="16.2" thickBot="1" x14ac:dyDescent="0.35">
      <c r="A16" s="37">
        <v>6</v>
      </c>
      <c r="B16" s="37">
        <v>19.652999999999999</v>
      </c>
      <c r="C16" s="42"/>
      <c r="E16" s="68"/>
      <c r="F16" s="14" t="s">
        <v>16</v>
      </c>
      <c r="G16" s="15" t="s">
        <v>17</v>
      </c>
      <c r="H16" s="64"/>
      <c r="I16" s="64"/>
      <c r="J16" s="64"/>
      <c r="K16" s="64"/>
      <c r="L16" s="64"/>
      <c r="M16" s="66"/>
    </row>
    <row r="17" spans="1:13" ht="16.2" thickTop="1" x14ac:dyDescent="0.3">
      <c r="A17" s="37">
        <v>11</v>
      </c>
      <c r="B17" s="37">
        <v>10.124000000000001</v>
      </c>
      <c r="C17" s="42"/>
      <c r="D17" t="str">
        <f>_xlfn.CONCAT("[",F17,"; ",G17,")")</f>
        <v>[2,5; 4,5)</v>
      </c>
      <c r="E17" s="13"/>
      <c r="F17" s="13">
        <f>E13</f>
        <v>2.5</v>
      </c>
      <c r="G17" s="13">
        <f t="shared" ref="G17:G26" si="0">F17+$E$12</f>
        <v>4.5</v>
      </c>
      <c r="H17" s="13">
        <f t="shared" ref="H17:H27" si="1">SUMIFS($A$6:$A$39,$B$6:$B$39,"&gt;="&amp;F17,$B$6:$B$39,"&lt;"&amp;G17)</f>
        <v>12</v>
      </c>
      <c r="I17" s="13">
        <f>H17</f>
        <v>12</v>
      </c>
      <c r="J17" s="53">
        <f>H17/$H$28</f>
        <v>3.6363636363636362E-2</v>
      </c>
      <c r="K17" s="53">
        <f>I17/$H$28</f>
        <v>3.6363636363636362E-2</v>
      </c>
      <c r="L17" s="13">
        <f>(F17+G17)/2</f>
        <v>3.5</v>
      </c>
      <c r="M17" s="13">
        <f>L17^2</f>
        <v>12.25</v>
      </c>
    </row>
    <row r="18" spans="1:13" ht="15.6" x14ac:dyDescent="0.3">
      <c r="A18" s="37">
        <v>16</v>
      </c>
      <c r="B18" s="37">
        <v>14.079000000000001</v>
      </c>
      <c r="C18" s="42"/>
      <c r="D18" t="str">
        <f t="shared" ref="D18:D27" si="2">_xlfn.CONCAT("[",F18,"; ",G18,")")</f>
        <v>[4,5; 6,5)</v>
      </c>
      <c r="E18" s="39"/>
      <c r="F18" s="12">
        <f>G17</f>
        <v>4.5</v>
      </c>
      <c r="G18" s="13">
        <f t="shared" si="0"/>
        <v>6.5</v>
      </c>
      <c r="H18" s="13">
        <f t="shared" si="1"/>
        <v>19</v>
      </c>
      <c r="I18" s="13">
        <f>I17+H18</f>
        <v>31</v>
      </c>
      <c r="J18" s="53">
        <f t="shared" ref="J18:J27" si="3">H18/$H$28</f>
        <v>5.7575757575757579E-2</v>
      </c>
      <c r="K18" s="53">
        <f t="shared" ref="K18:K27" si="4">I18/$H$28</f>
        <v>9.3939393939393934E-2</v>
      </c>
      <c r="L18" s="13">
        <f t="shared" ref="L18:L27" si="5">(F18+G18)/2</f>
        <v>5.5</v>
      </c>
      <c r="M18" s="13">
        <f t="shared" ref="M18:M27" si="6">L18^2</f>
        <v>30.25</v>
      </c>
    </row>
    <row r="19" spans="1:13" ht="15.6" x14ac:dyDescent="0.3">
      <c r="A19" s="37">
        <v>13</v>
      </c>
      <c r="B19" s="37">
        <v>16.004000000000001</v>
      </c>
      <c r="C19" s="42"/>
      <c r="D19" t="str">
        <f t="shared" si="2"/>
        <v>[6,5; 8,5)</v>
      </c>
      <c r="E19" s="39"/>
      <c r="F19" s="12">
        <f t="shared" ref="F19:F27" si="7">G18</f>
        <v>6.5</v>
      </c>
      <c r="G19" s="13">
        <f t="shared" si="0"/>
        <v>8.5</v>
      </c>
      <c r="H19" s="13">
        <f t="shared" si="1"/>
        <v>22</v>
      </c>
      <c r="I19" s="13">
        <f t="shared" ref="I19:I27" si="8">I18+H19</f>
        <v>53</v>
      </c>
      <c r="J19" s="53">
        <f t="shared" si="3"/>
        <v>6.6666666666666666E-2</v>
      </c>
      <c r="K19" s="53">
        <f t="shared" si="4"/>
        <v>0.16060606060606061</v>
      </c>
      <c r="L19" s="13">
        <f t="shared" si="5"/>
        <v>7.5</v>
      </c>
      <c r="M19" s="13">
        <f t="shared" si="6"/>
        <v>56.25</v>
      </c>
    </row>
    <row r="20" spans="1:13" ht="15.6" x14ac:dyDescent="0.3">
      <c r="A20" s="37">
        <v>5</v>
      </c>
      <c r="B20" s="37">
        <v>7.8049999999999997</v>
      </c>
      <c r="C20" s="42"/>
      <c r="D20" t="str">
        <f t="shared" si="2"/>
        <v>[8,5; 10,5)</v>
      </c>
      <c r="E20" s="12"/>
      <c r="F20" s="12">
        <f t="shared" si="7"/>
        <v>8.5</v>
      </c>
      <c r="G20" s="13">
        <f t="shared" si="0"/>
        <v>10.5</v>
      </c>
      <c r="H20" s="13">
        <f t="shared" si="1"/>
        <v>27</v>
      </c>
      <c r="I20" s="13">
        <f t="shared" si="8"/>
        <v>80</v>
      </c>
      <c r="J20" s="53">
        <f t="shared" si="3"/>
        <v>8.1818181818181818E-2</v>
      </c>
      <c r="K20" s="53">
        <f t="shared" si="4"/>
        <v>0.24242424242424243</v>
      </c>
      <c r="L20" s="13">
        <f t="shared" si="5"/>
        <v>9.5</v>
      </c>
      <c r="M20" s="13">
        <f t="shared" si="6"/>
        <v>90.25</v>
      </c>
    </row>
    <row r="21" spans="1:13" ht="15.6" x14ac:dyDescent="0.35">
      <c r="A21" s="37">
        <v>7</v>
      </c>
      <c r="B21" s="37">
        <v>4.5519999999999996</v>
      </c>
      <c r="C21" s="42"/>
      <c r="D21" t="str">
        <f t="shared" si="2"/>
        <v>[10,5; 12,5)</v>
      </c>
      <c r="E21" s="40" t="s">
        <v>58</v>
      </c>
      <c r="F21" s="12">
        <f t="shared" si="7"/>
        <v>10.5</v>
      </c>
      <c r="G21" s="13">
        <f t="shared" si="0"/>
        <v>12.5</v>
      </c>
      <c r="H21" s="13">
        <f t="shared" si="1"/>
        <v>66</v>
      </c>
      <c r="I21" s="13">
        <f t="shared" si="8"/>
        <v>146</v>
      </c>
      <c r="J21" s="53">
        <f t="shared" si="3"/>
        <v>0.2</v>
      </c>
      <c r="K21" s="53">
        <f t="shared" si="4"/>
        <v>0.44242424242424244</v>
      </c>
      <c r="L21" s="13">
        <f t="shared" si="5"/>
        <v>11.5</v>
      </c>
      <c r="M21" s="13">
        <f t="shared" si="6"/>
        <v>132.25</v>
      </c>
    </row>
    <row r="22" spans="1:13" ht="15.6" x14ac:dyDescent="0.3">
      <c r="A22" s="37">
        <v>13</v>
      </c>
      <c r="B22" s="37">
        <v>13.021000000000001</v>
      </c>
      <c r="C22" s="42"/>
      <c r="D22" t="str">
        <f t="shared" si="2"/>
        <v>[12,5; 14,5)</v>
      </c>
      <c r="E22" s="17" t="s">
        <v>59</v>
      </c>
      <c r="F22" s="12">
        <f t="shared" si="7"/>
        <v>12.5</v>
      </c>
      <c r="G22" s="13">
        <f t="shared" si="0"/>
        <v>14.5</v>
      </c>
      <c r="H22" s="13">
        <f t="shared" si="1"/>
        <v>58</v>
      </c>
      <c r="I22" s="13">
        <f t="shared" si="8"/>
        <v>204</v>
      </c>
      <c r="J22" s="53">
        <f t="shared" si="3"/>
        <v>0.17575757575757575</v>
      </c>
      <c r="K22" s="53">
        <f t="shared" si="4"/>
        <v>0.61818181818181817</v>
      </c>
      <c r="L22" s="13">
        <f t="shared" si="5"/>
        <v>13.5</v>
      </c>
      <c r="M22" s="13">
        <f t="shared" si="6"/>
        <v>182.25</v>
      </c>
    </row>
    <row r="23" spans="1:13" ht="15.6" x14ac:dyDescent="0.35">
      <c r="A23" s="37">
        <v>10</v>
      </c>
      <c r="B23" s="37">
        <v>16.001000000000001</v>
      </c>
      <c r="C23" s="42"/>
      <c r="D23" t="str">
        <f>_xlfn.CONCAT("[",F23,"; ",G23,")")</f>
        <v>[14,5; 16,5)</v>
      </c>
      <c r="E23" s="12" t="s">
        <v>40</v>
      </c>
      <c r="F23" s="12">
        <f t="shared" si="7"/>
        <v>14.5</v>
      </c>
      <c r="G23" s="13">
        <f t="shared" si="0"/>
        <v>16.5</v>
      </c>
      <c r="H23" s="13">
        <f t="shared" si="1"/>
        <v>52</v>
      </c>
      <c r="I23" s="13">
        <f t="shared" si="8"/>
        <v>256</v>
      </c>
      <c r="J23" s="53">
        <f t="shared" si="3"/>
        <v>0.15757575757575756</v>
      </c>
      <c r="K23" s="53">
        <f t="shared" si="4"/>
        <v>0.77575757575757576</v>
      </c>
      <c r="L23" s="13">
        <f t="shared" si="5"/>
        <v>15.5</v>
      </c>
      <c r="M23" s="13">
        <f t="shared" si="6"/>
        <v>240.25</v>
      </c>
    </row>
    <row r="24" spans="1:13" ht="15.6" x14ac:dyDescent="0.3">
      <c r="A24" s="37">
        <v>7</v>
      </c>
      <c r="B24" s="37">
        <v>8.0030000000000001</v>
      </c>
      <c r="C24" s="42"/>
      <c r="D24" t="str">
        <f t="shared" si="2"/>
        <v>[16,5; 18,5)</v>
      </c>
      <c r="E24" s="12"/>
      <c r="F24" s="12">
        <f t="shared" si="7"/>
        <v>16.5</v>
      </c>
      <c r="G24" s="13">
        <f t="shared" si="0"/>
        <v>18.5</v>
      </c>
      <c r="H24" s="13">
        <f t="shared" si="1"/>
        <v>35</v>
      </c>
      <c r="I24" s="13">
        <f t="shared" si="8"/>
        <v>291</v>
      </c>
      <c r="J24" s="53">
        <f t="shared" si="3"/>
        <v>0.10606060606060606</v>
      </c>
      <c r="K24" s="53">
        <f t="shared" si="4"/>
        <v>0.88181818181818183</v>
      </c>
      <c r="L24" s="13">
        <f t="shared" si="5"/>
        <v>17.5</v>
      </c>
      <c r="M24" s="13">
        <f t="shared" si="6"/>
        <v>306.25</v>
      </c>
    </row>
    <row r="25" spans="1:13" ht="15.6" x14ac:dyDescent="0.3">
      <c r="A25" s="37">
        <v>10</v>
      </c>
      <c r="B25" s="37">
        <v>11.458</v>
      </c>
      <c r="C25" s="42"/>
      <c r="D25" t="str">
        <f t="shared" si="2"/>
        <v>[18,5; 20,5)</v>
      </c>
      <c r="E25" s="12"/>
      <c r="F25" s="12">
        <f t="shared" si="7"/>
        <v>18.5</v>
      </c>
      <c r="G25" s="13">
        <f t="shared" si="0"/>
        <v>20.5</v>
      </c>
      <c r="H25" s="13">
        <f t="shared" si="1"/>
        <v>16</v>
      </c>
      <c r="I25" s="13">
        <f t="shared" si="8"/>
        <v>307</v>
      </c>
      <c r="J25" s="53">
        <f t="shared" si="3"/>
        <v>4.8484848484848485E-2</v>
      </c>
      <c r="K25" s="53">
        <f t="shared" si="4"/>
        <v>0.9303030303030303</v>
      </c>
      <c r="L25" s="13">
        <f t="shared" si="5"/>
        <v>19.5</v>
      </c>
      <c r="M25" s="13">
        <f t="shared" si="6"/>
        <v>380.25</v>
      </c>
    </row>
    <row r="26" spans="1:13" ht="15.6" x14ac:dyDescent="0.3">
      <c r="A26" s="37">
        <v>15</v>
      </c>
      <c r="B26" s="37">
        <v>13.222</v>
      </c>
      <c r="C26" s="42"/>
      <c r="D26" t="str">
        <f t="shared" si="2"/>
        <v>[20,5; 22,5)</v>
      </c>
      <c r="E26" s="12"/>
      <c r="F26" s="12">
        <f t="shared" si="7"/>
        <v>20.5</v>
      </c>
      <c r="G26" s="13">
        <f t="shared" si="0"/>
        <v>22.5</v>
      </c>
      <c r="H26" s="13">
        <f t="shared" si="1"/>
        <v>18</v>
      </c>
      <c r="I26" s="13">
        <f t="shared" si="8"/>
        <v>325</v>
      </c>
      <c r="J26" s="53">
        <f t="shared" si="3"/>
        <v>5.4545454545454543E-2</v>
      </c>
      <c r="K26" s="53">
        <f t="shared" si="4"/>
        <v>0.98484848484848486</v>
      </c>
      <c r="L26" s="13">
        <f t="shared" si="5"/>
        <v>21.5</v>
      </c>
      <c r="M26" s="13">
        <f t="shared" si="6"/>
        <v>462.25</v>
      </c>
    </row>
    <row r="27" spans="1:13" ht="15.6" x14ac:dyDescent="0.3">
      <c r="A27" s="37">
        <v>12</v>
      </c>
      <c r="B27" s="37">
        <v>16.457999999999998</v>
      </c>
      <c r="C27" s="42"/>
      <c r="D27" t="str">
        <f t="shared" si="2"/>
        <v>[22,5; 24,5000001)</v>
      </c>
      <c r="E27" s="12"/>
      <c r="F27" s="12">
        <f t="shared" si="7"/>
        <v>22.5</v>
      </c>
      <c r="G27" s="41">
        <f>F27+$E$12+0.0000001</f>
        <v>24.500000100000001</v>
      </c>
      <c r="H27" s="13">
        <f t="shared" si="1"/>
        <v>5</v>
      </c>
      <c r="I27" s="13">
        <f t="shared" si="8"/>
        <v>330</v>
      </c>
      <c r="J27" s="53">
        <f t="shared" si="3"/>
        <v>1.5151515151515152E-2</v>
      </c>
      <c r="K27" s="53">
        <f t="shared" si="4"/>
        <v>1</v>
      </c>
      <c r="L27" s="41">
        <f t="shared" si="5"/>
        <v>23.500000050000001</v>
      </c>
      <c r="M27" s="13">
        <f t="shared" si="6"/>
        <v>552.25000235000005</v>
      </c>
    </row>
    <row r="28" spans="1:13" ht="15.6" x14ac:dyDescent="0.3">
      <c r="A28" s="37">
        <v>16</v>
      </c>
      <c r="B28" s="37">
        <v>12.036</v>
      </c>
      <c r="C28" s="42"/>
      <c r="H28" s="12">
        <f>SUM(H17:H27)</f>
        <v>330</v>
      </c>
    </row>
    <row r="29" spans="1:13" ht="15.6" x14ac:dyDescent="0.3">
      <c r="A29" s="37">
        <v>4</v>
      </c>
      <c r="B29" s="37">
        <v>21.873000000000001</v>
      </c>
      <c r="C29" s="42"/>
    </row>
    <row r="30" spans="1:13" ht="21.6" x14ac:dyDescent="0.45">
      <c r="A30" s="37">
        <v>7</v>
      </c>
      <c r="B30" s="37">
        <v>2.5</v>
      </c>
      <c r="C30" s="42"/>
      <c r="D30" s="55" t="s">
        <v>45</v>
      </c>
      <c r="E30" s="55"/>
    </row>
    <row r="31" spans="1:13" ht="15.6" x14ac:dyDescent="0.3">
      <c r="A31" s="37">
        <v>6</v>
      </c>
      <c r="B31" s="37">
        <v>18.978000000000002</v>
      </c>
      <c r="C31" s="42"/>
      <c r="D31" s="16" t="s">
        <v>24</v>
      </c>
      <c r="E31" s="43">
        <f>H10+(0.5*E7-H12)/H11*E12</f>
        <v>13.155172413793103</v>
      </c>
    </row>
    <row r="32" spans="1:13" ht="15.6" x14ac:dyDescent="0.3">
      <c r="A32" s="37">
        <v>7</v>
      </c>
      <c r="B32" s="37">
        <v>14.872</v>
      </c>
      <c r="C32" s="42"/>
      <c r="D32" s="24" t="s">
        <v>25</v>
      </c>
      <c r="E32" s="43">
        <f>K9+(K10-K11)/(K10-K11+K10-K12)*E12</f>
        <v>12.159574468085106</v>
      </c>
    </row>
    <row r="33" spans="1:5" ht="15.6" x14ac:dyDescent="0.3">
      <c r="A33" s="37">
        <v>4</v>
      </c>
      <c r="B33" s="37">
        <v>19.32</v>
      </c>
      <c r="C33" s="42"/>
      <c r="D33" s="19" t="s">
        <v>26</v>
      </c>
      <c r="E33" s="43">
        <f>SUMPRODUCT(J17:J27,L17:L27)</f>
        <v>13.166666667424241</v>
      </c>
    </row>
    <row r="34" spans="1:5" ht="16.2" x14ac:dyDescent="0.3">
      <c r="A34" s="37">
        <v>9</v>
      </c>
      <c r="B34" s="37">
        <v>21.318000000000001</v>
      </c>
      <c r="C34" s="42"/>
      <c r="D34" s="20" t="s">
        <v>28</v>
      </c>
      <c r="E34" s="43">
        <f>SUMPRODUCT(J17:J27,M17:M27)-E33^2</f>
        <v>20.797979813636402</v>
      </c>
    </row>
    <row r="35" spans="1:5" ht="15.6" x14ac:dyDescent="0.3">
      <c r="A35" s="37">
        <v>10</v>
      </c>
      <c r="B35" s="37">
        <v>7.3310000000000004</v>
      </c>
      <c r="C35" s="42"/>
      <c r="D35" s="21" t="s">
        <v>29</v>
      </c>
      <c r="E35" s="43">
        <f>E34^0.5</f>
        <v>4.560480217437239</v>
      </c>
    </row>
    <row r="36" spans="1:5" ht="15.6" x14ac:dyDescent="0.3">
      <c r="A36" s="37">
        <v>6</v>
      </c>
      <c r="B36" s="37">
        <v>9.8539999999999992</v>
      </c>
      <c r="C36" s="42"/>
      <c r="D36" s="22" t="s">
        <v>30</v>
      </c>
      <c r="E36" s="43">
        <f>E35/E33*100</f>
        <v>34.63655861145449</v>
      </c>
    </row>
    <row r="37" spans="1:5" ht="15.6" x14ac:dyDescent="0.35">
      <c r="A37" s="37">
        <v>4</v>
      </c>
      <c r="B37" s="37">
        <v>15.478</v>
      </c>
      <c r="C37" s="42"/>
      <c r="D37" s="35" t="s">
        <v>46</v>
      </c>
      <c r="E37" s="43">
        <f>N7+E12*(H7-N8)/N9</f>
        <v>10.575757575757576</v>
      </c>
    </row>
    <row r="38" spans="1:5" ht="15.6" x14ac:dyDescent="0.35">
      <c r="A38" s="37">
        <v>5</v>
      </c>
      <c r="B38" s="37">
        <v>5.4969999999999999</v>
      </c>
      <c r="C38" s="42"/>
      <c r="D38" s="35" t="s">
        <v>47</v>
      </c>
      <c r="E38" s="43">
        <f>N10+E12*(H9-N11)/N12</f>
        <v>16.173076923076923</v>
      </c>
    </row>
    <row r="39" spans="1:5" ht="15.6" x14ac:dyDescent="0.3">
      <c r="A39" s="37">
        <v>15</v>
      </c>
      <c r="B39" s="37">
        <v>12.369</v>
      </c>
      <c r="C39" s="42"/>
    </row>
  </sheetData>
  <mergeCells count="11">
    <mergeCell ref="A4:A5"/>
    <mergeCell ref="B4:B5"/>
    <mergeCell ref="L15:L16"/>
    <mergeCell ref="M15:M16"/>
    <mergeCell ref="D30:E30"/>
    <mergeCell ref="E15:E16"/>
    <mergeCell ref="F15:G15"/>
    <mergeCell ref="H15:H16"/>
    <mergeCell ref="I15:I16"/>
    <mergeCell ref="J15:J16"/>
    <mergeCell ref="K15:K1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3083" r:id="rId4">
          <objectPr defaultSize="0" autoPict="0" r:id="rId5">
            <anchor moveWithCells="1" sizeWithCells="1">
              <from>
                <xdr:col>5</xdr:col>
                <xdr:colOff>373380</xdr:colOff>
                <xdr:row>29</xdr:row>
                <xdr:rowOff>106680</xdr:rowOff>
              </from>
              <to>
                <xdr:col>8</xdr:col>
                <xdr:colOff>419100</xdr:colOff>
                <xdr:row>31</xdr:row>
                <xdr:rowOff>160020</xdr:rowOff>
              </to>
            </anchor>
          </objectPr>
        </oleObject>
      </mc:Choice>
      <mc:Fallback>
        <oleObject progId="Equation.DSMT4" shapeId="3083" r:id="rId4"/>
      </mc:Fallback>
    </mc:AlternateContent>
    <mc:AlternateContent xmlns:mc="http://schemas.openxmlformats.org/markup-compatibility/2006">
      <mc:Choice Requires="x14">
        <oleObject progId="Equation.DSMT4" shapeId="3084" r:id="rId6">
          <objectPr defaultSize="0" autoPict="0" r:id="rId7">
            <anchor moveWithCells="1" sizeWithCells="1">
              <from>
                <xdr:col>5</xdr:col>
                <xdr:colOff>373380</xdr:colOff>
                <xdr:row>31</xdr:row>
                <xdr:rowOff>106680</xdr:rowOff>
              </from>
              <to>
                <xdr:col>9</xdr:col>
                <xdr:colOff>411480</xdr:colOff>
                <xdr:row>33</xdr:row>
                <xdr:rowOff>182880</xdr:rowOff>
              </to>
            </anchor>
          </objectPr>
        </oleObject>
      </mc:Choice>
      <mc:Fallback>
        <oleObject progId="Equation.DSMT4" shapeId="3084" r:id="rId6"/>
      </mc:Fallback>
    </mc:AlternateContent>
    <mc:AlternateContent xmlns:mc="http://schemas.openxmlformats.org/markup-compatibility/2006">
      <mc:Choice Requires="x14">
        <oleObject progId="Equation.DSMT4" shapeId="3085" r:id="rId8">
          <objectPr defaultSize="0" autoPict="0" r:id="rId9">
            <anchor moveWithCells="1" sizeWithCells="1">
              <from>
                <xdr:col>5</xdr:col>
                <xdr:colOff>335280</xdr:colOff>
                <xdr:row>33</xdr:row>
                <xdr:rowOff>152400</xdr:rowOff>
              </from>
              <to>
                <xdr:col>8</xdr:col>
                <xdr:colOff>335280</xdr:colOff>
                <xdr:row>35</xdr:row>
                <xdr:rowOff>190500</xdr:rowOff>
              </to>
            </anchor>
          </objectPr>
        </oleObject>
      </mc:Choice>
      <mc:Fallback>
        <oleObject progId="Equation.DSMT4" shapeId="3085" r:id="rId8"/>
      </mc:Fallback>
    </mc:AlternateContent>
    <mc:AlternateContent xmlns:mc="http://schemas.openxmlformats.org/markup-compatibility/2006">
      <mc:Choice Requires="x14">
        <oleObject progId="Equation.DSMT4" shapeId="3086" r:id="rId10">
          <objectPr defaultSize="0" autoPict="0" r:id="rId11">
            <anchor moveWithCells="1" sizeWithCells="1">
              <from>
                <xdr:col>5</xdr:col>
                <xdr:colOff>342900</xdr:colOff>
                <xdr:row>36</xdr:row>
                <xdr:rowOff>30480</xdr:rowOff>
              </from>
              <to>
                <xdr:col>7</xdr:col>
                <xdr:colOff>266700</xdr:colOff>
                <xdr:row>38</xdr:row>
                <xdr:rowOff>68580</xdr:rowOff>
              </to>
            </anchor>
          </objectPr>
        </oleObject>
      </mc:Choice>
      <mc:Fallback>
        <oleObject progId="Equation.DSMT4" shapeId="3086" r:id="rId10"/>
      </mc:Fallback>
    </mc:AlternateContent>
    <mc:AlternateContent xmlns:mc="http://schemas.openxmlformats.org/markup-compatibility/2006">
      <mc:Choice Requires="x14">
        <oleObject progId="Equation.DSMT4" shapeId="3087" r:id="rId12">
          <objectPr defaultSize="0" autoPict="0" r:id="rId13">
            <anchor moveWithCells="1" sizeWithCells="1">
              <from>
                <xdr:col>5</xdr:col>
                <xdr:colOff>342900</xdr:colOff>
                <xdr:row>41</xdr:row>
                <xdr:rowOff>68580</xdr:rowOff>
              </from>
              <to>
                <xdr:col>8</xdr:col>
                <xdr:colOff>297180</xdr:colOff>
                <xdr:row>44</xdr:row>
                <xdr:rowOff>106680</xdr:rowOff>
              </to>
            </anchor>
          </objectPr>
        </oleObject>
      </mc:Choice>
      <mc:Fallback>
        <oleObject progId="Equation.DSMT4" shapeId="3087" r:id="rId12"/>
      </mc:Fallback>
    </mc:AlternateContent>
    <mc:AlternateContent xmlns:mc="http://schemas.openxmlformats.org/markup-compatibility/2006">
      <mc:Choice Requires="x14">
        <oleObject progId="Equation.DSMT4" shapeId="3088" r:id="rId14">
          <objectPr defaultSize="0" autoPict="0" r:id="rId15">
            <anchor moveWithCells="1" sizeWithCells="1">
              <from>
                <xdr:col>5</xdr:col>
                <xdr:colOff>373380</xdr:colOff>
                <xdr:row>37</xdr:row>
                <xdr:rowOff>190500</xdr:rowOff>
              </from>
              <to>
                <xdr:col>8</xdr:col>
                <xdr:colOff>381000</xdr:colOff>
                <xdr:row>41</xdr:row>
                <xdr:rowOff>106680</xdr:rowOff>
              </to>
            </anchor>
          </objectPr>
        </oleObject>
      </mc:Choice>
      <mc:Fallback>
        <oleObject progId="Equation.DSMT4" shapeId="3088" r:id="rId1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2EA7-87B5-4940-BD3B-308EF9644A6B}">
  <sheetPr>
    <tabColor rgb="FF00B050"/>
  </sheetPr>
  <dimension ref="A1:L36"/>
  <sheetViews>
    <sheetView zoomScaleNormal="100" workbookViewId="0">
      <selection activeCell="M10" sqref="M10"/>
    </sheetView>
  </sheetViews>
  <sheetFormatPr defaultColWidth="8.88671875" defaultRowHeight="14.4" x14ac:dyDescent="0.3"/>
  <cols>
    <col min="1" max="1" width="10.6640625" customWidth="1"/>
    <col min="9" max="9" width="10.44140625" customWidth="1"/>
    <col min="10" max="10" width="12" customWidth="1"/>
  </cols>
  <sheetData>
    <row r="1" spans="1:12" ht="144" customHeight="1" thickBot="1" x14ac:dyDescent="0.35"/>
    <row r="2" spans="1:12" ht="18.600000000000001" thickBot="1" x14ac:dyDescent="0.35">
      <c r="A2" s="45"/>
      <c r="B2" s="44" t="s">
        <v>68</v>
      </c>
      <c r="C2" s="44" t="s">
        <v>69</v>
      </c>
      <c r="D2" s="44" t="s">
        <v>70</v>
      </c>
      <c r="E2" s="44" t="s">
        <v>71</v>
      </c>
      <c r="F2" s="44" t="s">
        <v>72</v>
      </c>
      <c r="G2" s="44" t="s">
        <v>62</v>
      </c>
      <c r="H2" s="44" t="s">
        <v>63</v>
      </c>
      <c r="I2" s="44" t="s">
        <v>64</v>
      </c>
      <c r="J2" s="44" t="s">
        <v>65</v>
      </c>
      <c r="K2" s="44" t="s">
        <v>66</v>
      </c>
      <c r="L2" s="44" t="s">
        <v>67</v>
      </c>
    </row>
    <row r="3" spans="1:12" ht="16.2" thickBot="1" x14ac:dyDescent="0.35">
      <c r="A3" s="46"/>
      <c r="B3" s="4">
        <v>1</v>
      </c>
      <c r="C3" s="4">
        <v>3</v>
      </c>
      <c r="D3" s="4">
        <v>6</v>
      </c>
      <c r="E3" s="4">
        <v>11</v>
      </c>
      <c r="F3" s="4">
        <v>15</v>
      </c>
      <c r="G3" s="4">
        <v>20</v>
      </c>
      <c r="H3" s="4">
        <v>14</v>
      </c>
      <c r="I3" s="4">
        <v>12</v>
      </c>
      <c r="J3" s="4">
        <v>10</v>
      </c>
      <c r="K3" s="4">
        <v>6</v>
      </c>
      <c r="L3" s="4">
        <v>2</v>
      </c>
    </row>
    <row r="5" spans="1:12" ht="15.6" x14ac:dyDescent="0.35">
      <c r="A5" s="10" t="s">
        <v>12</v>
      </c>
      <c r="B5" s="11">
        <f>SUM(B3:L3)</f>
        <v>100</v>
      </c>
      <c r="D5" s="23" t="s">
        <v>44</v>
      </c>
      <c r="E5" s="11">
        <f>1/4*B5</f>
        <v>25</v>
      </c>
      <c r="J5" s="35" t="s">
        <v>48</v>
      </c>
      <c r="K5" s="11">
        <f>C19</f>
        <v>12</v>
      </c>
    </row>
    <row r="6" spans="1:12" ht="16.8" x14ac:dyDescent="0.35">
      <c r="A6" s="10" t="s">
        <v>13</v>
      </c>
      <c r="B6" s="11">
        <v>4</v>
      </c>
      <c r="D6" s="23" t="s">
        <v>43</v>
      </c>
      <c r="E6" s="11">
        <f>1/2*B5</f>
        <v>50</v>
      </c>
      <c r="J6" s="35" t="s">
        <v>49</v>
      </c>
      <c r="K6" s="11">
        <f>F18</f>
        <v>21</v>
      </c>
    </row>
    <row r="7" spans="1:12" ht="15.6" x14ac:dyDescent="0.35">
      <c r="A7" s="10" t="s">
        <v>14</v>
      </c>
      <c r="B7" s="11">
        <v>26</v>
      </c>
      <c r="D7" s="23" t="s">
        <v>41</v>
      </c>
      <c r="E7" s="11">
        <f>3/4*B5</f>
        <v>75</v>
      </c>
      <c r="G7" s="24" t="s">
        <v>36</v>
      </c>
      <c r="H7" s="11">
        <f>C20</f>
        <v>14</v>
      </c>
      <c r="J7" s="35" t="s">
        <v>50</v>
      </c>
      <c r="K7" s="11">
        <f>E19</f>
        <v>15</v>
      </c>
    </row>
    <row r="8" spans="1:12" ht="15.6" x14ac:dyDescent="0.35">
      <c r="A8" s="10" t="s">
        <v>11</v>
      </c>
      <c r="B8" s="11">
        <v>11</v>
      </c>
      <c r="D8" s="16" t="s">
        <v>33</v>
      </c>
      <c r="E8" s="11">
        <v>14</v>
      </c>
      <c r="G8" s="24" t="s">
        <v>37</v>
      </c>
      <c r="H8" s="11">
        <f>E20</f>
        <v>20</v>
      </c>
      <c r="J8" s="35" t="s">
        <v>51</v>
      </c>
      <c r="K8" s="11">
        <f>C22</f>
        <v>18</v>
      </c>
    </row>
    <row r="9" spans="1:12" ht="16.8" x14ac:dyDescent="0.35">
      <c r="A9" s="10" t="s">
        <v>10</v>
      </c>
      <c r="B9" s="11">
        <f>(B7-B6)/B8</f>
        <v>2</v>
      </c>
      <c r="D9" s="16" t="s">
        <v>34</v>
      </c>
      <c r="E9" s="11">
        <v>20</v>
      </c>
      <c r="G9" s="24" t="s">
        <v>38</v>
      </c>
      <c r="H9" s="11">
        <f>E19</f>
        <v>15</v>
      </c>
      <c r="J9" s="35" t="s">
        <v>53</v>
      </c>
      <c r="K9" s="11">
        <f>F21</f>
        <v>70</v>
      </c>
    </row>
    <row r="10" spans="1:12" ht="16.8" x14ac:dyDescent="0.35">
      <c r="A10" s="25" t="s">
        <v>42</v>
      </c>
      <c r="B10" s="11">
        <v>2</v>
      </c>
      <c r="D10" s="16" t="s">
        <v>35</v>
      </c>
      <c r="E10" s="11">
        <f>F19</f>
        <v>36</v>
      </c>
      <c r="G10" s="24" t="s">
        <v>39</v>
      </c>
      <c r="H10" s="11">
        <f>E21</f>
        <v>14</v>
      </c>
      <c r="J10" s="35" t="s">
        <v>52</v>
      </c>
      <c r="K10" s="11">
        <f>E22</f>
        <v>12</v>
      </c>
    </row>
    <row r="11" spans="1:12" ht="15.6" x14ac:dyDescent="0.35">
      <c r="A11" s="10" t="s">
        <v>19</v>
      </c>
      <c r="B11" s="11">
        <v>4</v>
      </c>
    </row>
    <row r="13" spans="1:12" ht="26.25" customHeight="1" x14ac:dyDescent="0.3">
      <c r="B13" s="56" t="s">
        <v>31</v>
      </c>
      <c r="C13" s="61" t="s">
        <v>74</v>
      </c>
      <c r="D13" s="61"/>
      <c r="E13" s="58" t="s">
        <v>20</v>
      </c>
      <c r="F13" s="58" t="s">
        <v>21</v>
      </c>
      <c r="G13" s="58" t="s">
        <v>22</v>
      </c>
      <c r="H13" s="58" t="s">
        <v>23</v>
      </c>
      <c r="I13" s="58" t="s">
        <v>18</v>
      </c>
      <c r="J13" s="58" t="s">
        <v>27</v>
      </c>
    </row>
    <row r="14" spans="1:12" ht="27" customHeight="1" thickBot="1" x14ac:dyDescent="0.35">
      <c r="B14" s="57"/>
      <c r="C14" s="14" t="s">
        <v>16</v>
      </c>
      <c r="D14" s="15" t="s">
        <v>17</v>
      </c>
      <c r="E14" s="59"/>
      <c r="F14" s="59"/>
      <c r="G14" s="59"/>
      <c r="H14" s="59"/>
      <c r="I14" s="59"/>
      <c r="J14" s="59"/>
    </row>
    <row r="15" spans="1:12" ht="15" thickTop="1" x14ac:dyDescent="0.3">
      <c r="A15" t="str">
        <f>_xlfn.CONCAT("[",C15,"; ",D15,")")</f>
        <v>[4; 6)</v>
      </c>
      <c r="B15" s="13"/>
      <c r="C15" s="13">
        <f>B11</f>
        <v>4</v>
      </c>
      <c r="D15" s="13">
        <f>C15+$B$10</f>
        <v>6</v>
      </c>
      <c r="E15" s="13">
        <f t="array" ref="E15:E25">TRANSPOSE(B3:L3)</f>
        <v>1</v>
      </c>
      <c r="F15" s="13">
        <f>E15</f>
        <v>1</v>
      </c>
      <c r="G15" s="13">
        <f>E15/$E$26</f>
        <v>0.01</v>
      </c>
      <c r="H15" s="13">
        <f>F15/$E$26</f>
        <v>0.01</v>
      </c>
      <c r="I15" s="13">
        <f>(C15+D15)/2</f>
        <v>5</v>
      </c>
      <c r="J15" s="12">
        <f>I15^2</f>
        <v>25</v>
      </c>
    </row>
    <row r="16" spans="1:12" x14ac:dyDescent="0.3">
      <c r="A16" t="str">
        <f t="shared" ref="A16:A25" si="0">_xlfn.CONCAT("[",C16,"; ",D16,")")</f>
        <v>[6; 8)</v>
      </c>
      <c r="B16" s="12"/>
      <c r="C16" s="12">
        <f>D15</f>
        <v>6</v>
      </c>
      <c r="D16" s="13">
        <f>C16+$B$10</f>
        <v>8</v>
      </c>
      <c r="E16" s="13">
        <v>3</v>
      </c>
      <c r="F16" s="13">
        <f>F15+E16</f>
        <v>4</v>
      </c>
      <c r="G16" s="13">
        <f t="shared" ref="G16:G25" si="1">E16/$E$26</f>
        <v>0.03</v>
      </c>
      <c r="H16" s="13">
        <f t="shared" ref="H16:H25" si="2">F16/$E$26</f>
        <v>0.04</v>
      </c>
      <c r="I16" s="13">
        <f t="shared" ref="I16:I25" si="3">(C16+D16)/2</f>
        <v>7</v>
      </c>
      <c r="J16" s="12">
        <f t="shared" ref="J16:J25" si="4">I16^2</f>
        <v>49</v>
      </c>
    </row>
    <row r="17" spans="1:10" x14ac:dyDescent="0.3">
      <c r="A17" t="str">
        <f t="shared" si="0"/>
        <v>[8; 10)</v>
      </c>
      <c r="B17" s="12"/>
      <c r="C17" s="12">
        <f t="shared" ref="C17:C25" si="5">D16</f>
        <v>8</v>
      </c>
      <c r="D17" s="13">
        <f t="shared" ref="D17:D25" si="6">C17+$B$10</f>
        <v>10</v>
      </c>
      <c r="E17" s="13">
        <v>6</v>
      </c>
      <c r="F17" s="13">
        <f t="shared" ref="F17:F25" si="7">F16+E17</f>
        <v>10</v>
      </c>
      <c r="G17" s="13">
        <f t="shared" si="1"/>
        <v>0.06</v>
      </c>
      <c r="H17" s="13">
        <f t="shared" si="2"/>
        <v>0.1</v>
      </c>
      <c r="I17" s="13">
        <f t="shared" si="3"/>
        <v>9</v>
      </c>
      <c r="J17" s="12">
        <f t="shared" si="4"/>
        <v>81</v>
      </c>
    </row>
    <row r="18" spans="1:10" x14ac:dyDescent="0.3">
      <c r="A18" t="str">
        <f t="shared" si="0"/>
        <v>[10; 12)</v>
      </c>
      <c r="B18" s="12"/>
      <c r="C18" s="12">
        <f t="shared" si="5"/>
        <v>10</v>
      </c>
      <c r="D18" s="13">
        <f t="shared" si="6"/>
        <v>12</v>
      </c>
      <c r="E18" s="13">
        <v>11</v>
      </c>
      <c r="F18" s="13">
        <f t="shared" si="7"/>
        <v>21</v>
      </c>
      <c r="G18" s="13">
        <f t="shared" si="1"/>
        <v>0.11</v>
      </c>
      <c r="H18" s="13">
        <f t="shared" si="2"/>
        <v>0.21</v>
      </c>
      <c r="I18" s="13">
        <f t="shared" si="3"/>
        <v>11</v>
      </c>
      <c r="J18" s="12">
        <f t="shared" si="4"/>
        <v>121</v>
      </c>
    </row>
    <row r="19" spans="1:10" ht="15.6" x14ac:dyDescent="0.35">
      <c r="A19" t="str">
        <f t="shared" si="0"/>
        <v>[12; 14)</v>
      </c>
      <c r="B19" s="12" t="s">
        <v>60</v>
      </c>
      <c r="C19" s="12">
        <f t="shared" si="5"/>
        <v>12</v>
      </c>
      <c r="D19" s="13">
        <f t="shared" si="6"/>
        <v>14</v>
      </c>
      <c r="E19" s="13">
        <v>15</v>
      </c>
      <c r="F19" s="13">
        <f t="shared" si="7"/>
        <v>36</v>
      </c>
      <c r="G19" s="13">
        <f t="shared" si="1"/>
        <v>0.15</v>
      </c>
      <c r="H19" s="13">
        <f t="shared" si="2"/>
        <v>0.36</v>
      </c>
      <c r="I19" s="13">
        <f t="shared" si="3"/>
        <v>13</v>
      </c>
      <c r="J19" s="12">
        <f t="shared" si="4"/>
        <v>169</v>
      </c>
    </row>
    <row r="20" spans="1:10" x14ac:dyDescent="0.3">
      <c r="A20" t="str">
        <f t="shared" si="0"/>
        <v>[14; 16)</v>
      </c>
      <c r="B20" s="17" t="s">
        <v>73</v>
      </c>
      <c r="C20" s="12">
        <f t="shared" si="5"/>
        <v>14</v>
      </c>
      <c r="D20" s="13">
        <f t="shared" si="6"/>
        <v>16</v>
      </c>
      <c r="E20" s="13">
        <v>20</v>
      </c>
      <c r="F20" s="13">
        <f t="shared" si="7"/>
        <v>56</v>
      </c>
      <c r="G20" s="13">
        <f t="shared" si="1"/>
        <v>0.2</v>
      </c>
      <c r="H20" s="13">
        <f t="shared" si="2"/>
        <v>0.56000000000000005</v>
      </c>
      <c r="I20" s="13">
        <f t="shared" si="3"/>
        <v>15</v>
      </c>
      <c r="J20" s="12">
        <f t="shared" si="4"/>
        <v>225</v>
      </c>
    </row>
    <row r="21" spans="1:10" x14ac:dyDescent="0.3">
      <c r="A21" t="str">
        <f t="shared" si="0"/>
        <v>[16; 18)</v>
      </c>
      <c r="B21" s="12"/>
      <c r="C21" s="12">
        <f t="shared" si="5"/>
        <v>16</v>
      </c>
      <c r="D21" s="13">
        <f t="shared" si="6"/>
        <v>18</v>
      </c>
      <c r="E21" s="13">
        <v>14</v>
      </c>
      <c r="F21" s="13">
        <f t="shared" si="7"/>
        <v>70</v>
      </c>
      <c r="G21" s="13">
        <f t="shared" si="1"/>
        <v>0.14000000000000001</v>
      </c>
      <c r="H21" s="13">
        <f t="shared" si="2"/>
        <v>0.7</v>
      </c>
      <c r="I21" s="13">
        <f t="shared" si="3"/>
        <v>17</v>
      </c>
      <c r="J21" s="12">
        <f t="shared" si="4"/>
        <v>289</v>
      </c>
    </row>
    <row r="22" spans="1:10" ht="15.6" x14ac:dyDescent="0.35">
      <c r="A22" t="str">
        <f t="shared" si="0"/>
        <v>[18; 20)</v>
      </c>
      <c r="B22" s="12" t="s">
        <v>40</v>
      </c>
      <c r="C22" s="12">
        <f t="shared" si="5"/>
        <v>18</v>
      </c>
      <c r="D22" s="13">
        <f t="shared" si="6"/>
        <v>20</v>
      </c>
      <c r="E22" s="13">
        <v>12</v>
      </c>
      <c r="F22" s="13">
        <f t="shared" si="7"/>
        <v>82</v>
      </c>
      <c r="G22" s="13">
        <f t="shared" si="1"/>
        <v>0.12</v>
      </c>
      <c r="H22" s="13">
        <f t="shared" si="2"/>
        <v>0.82</v>
      </c>
      <c r="I22" s="13">
        <f t="shared" si="3"/>
        <v>19</v>
      </c>
      <c r="J22" s="12">
        <f t="shared" si="4"/>
        <v>361</v>
      </c>
    </row>
    <row r="23" spans="1:10" x14ac:dyDescent="0.3">
      <c r="A23" t="str">
        <f t="shared" si="0"/>
        <v>[20; 22)</v>
      </c>
      <c r="B23" s="12"/>
      <c r="C23" s="12">
        <f t="shared" si="5"/>
        <v>20</v>
      </c>
      <c r="D23" s="13">
        <f t="shared" si="6"/>
        <v>22</v>
      </c>
      <c r="E23" s="13">
        <v>10</v>
      </c>
      <c r="F23" s="13">
        <f t="shared" si="7"/>
        <v>92</v>
      </c>
      <c r="G23" s="13">
        <f t="shared" si="1"/>
        <v>0.1</v>
      </c>
      <c r="H23" s="13">
        <f t="shared" si="2"/>
        <v>0.92</v>
      </c>
      <c r="I23" s="13">
        <f t="shared" si="3"/>
        <v>21</v>
      </c>
      <c r="J23" s="12">
        <f t="shared" si="4"/>
        <v>441</v>
      </c>
    </row>
    <row r="24" spans="1:10" x14ac:dyDescent="0.3">
      <c r="A24" t="str">
        <f t="shared" si="0"/>
        <v>[22; 24)</v>
      </c>
      <c r="B24" s="12"/>
      <c r="C24" s="12">
        <f t="shared" si="5"/>
        <v>22</v>
      </c>
      <c r="D24" s="13">
        <f t="shared" si="6"/>
        <v>24</v>
      </c>
      <c r="E24" s="13">
        <v>6</v>
      </c>
      <c r="F24" s="13">
        <f t="shared" si="7"/>
        <v>98</v>
      </c>
      <c r="G24" s="13">
        <f t="shared" si="1"/>
        <v>0.06</v>
      </c>
      <c r="H24" s="13">
        <f t="shared" si="2"/>
        <v>0.98</v>
      </c>
      <c r="I24" s="13">
        <f t="shared" si="3"/>
        <v>23</v>
      </c>
      <c r="J24" s="12">
        <f t="shared" si="4"/>
        <v>529</v>
      </c>
    </row>
    <row r="25" spans="1:10" x14ac:dyDescent="0.3">
      <c r="A25" t="str">
        <f t="shared" si="0"/>
        <v>[24; 26)</v>
      </c>
      <c r="B25" s="12"/>
      <c r="C25" s="12">
        <f t="shared" si="5"/>
        <v>24</v>
      </c>
      <c r="D25" s="13">
        <f t="shared" si="6"/>
        <v>26</v>
      </c>
      <c r="E25" s="13">
        <v>2</v>
      </c>
      <c r="F25" s="13">
        <f t="shared" si="7"/>
        <v>100</v>
      </c>
      <c r="G25" s="13">
        <f t="shared" si="1"/>
        <v>0.02</v>
      </c>
      <c r="H25" s="13">
        <f t="shared" si="2"/>
        <v>1</v>
      </c>
      <c r="I25" s="13">
        <f t="shared" si="3"/>
        <v>25</v>
      </c>
      <c r="J25" s="12">
        <f t="shared" si="4"/>
        <v>625</v>
      </c>
    </row>
    <row r="26" spans="1:10" x14ac:dyDescent="0.3">
      <c r="E26" s="12">
        <f>SUM(E15:E25)</f>
        <v>100</v>
      </c>
    </row>
    <row r="28" spans="1:10" ht="21.6" x14ac:dyDescent="0.45">
      <c r="A28" s="55" t="s">
        <v>45</v>
      </c>
      <c r="B28" s="55"/>
    </row>
    <row r="29" spans="1:10" x14ac:dyDescent="0.3">
      <c r="A29" s="16" t="s">
        <v>24</v>
      </c>
      <c r="B29" s="36">
        <f>E8+B10*(0.5*B5-E10)/E9</f>
        <v>15.4</v>
      </c>
    </row>
    <row r="30" spans="1:10" x14ac:dyDescent="0.3">
      <c r="A30" s="24" t="s">
        <v>25</v>
      </c>
      <c r="B30" s="47">
        <f>H7+(H8-H9)/(H8-H9+H8-H10)*B10</f>
        <v>14.909090909090908</v>
      </c>
    </row>
    <row r="31" spans="1:10" x14ac:dyDescent="0.3">
      <c r="A31" s="19" t="s">
        <v>26</v>
      </c>
      <c r="B31" s="36">
        <f>SUMPRODUCT(G15:G25,I15:I25)</f>
        <v>15.599999999999998</v>
      </c>
    </row>
    <row r="32" spans="1:10" ht="16.2" x14ac:dyDescent="0.3">
      <c r="A32" s="20" t="s">
        <v>28</v>
      </c>
      <c r="B32" s="36">
        <f>SUMPRODUCT(G15:G25,J15:J25)-B31^2</f>
        <v>19.000000000000085</v>
      </c>
    </row>
    <row r="33" spans="1:2" x14ac:dyDescent="0.3">
      <c r="A33" s="21" t="s">
        <v>29</v>
      </c>
      <c r="B33" s="43">
        <f>B32^0.5</f>
        <v>4.3588989435406837</v>
      </c>
    </row>
    <row r="34" spans="1:2" x14ac:dyDescent="0.3">
      <c r="A34" s="22" t="s">
        <v>30</v>
      </c>
      <c r="B34" s="47">
        <f>B33/B31*100</f>
        <v>27.941659894491565</v>
      </c>
    </row>
    <row r="35" spans="1:2" ht="15.6" x14ac:dyDescent="0.35">
      <c r="A35" s="35" t="s">
        <v>46</v>
      </c>
      <c r="B35" s="47">
        <f>K5+B10*(E5-K6)/K7</f>
        <v>12.533333333333333</v>
      </c>
    </row>
    <row r="36" spans="1:2" ht="15.6" x14ac:dyDescent="0.35">
      <c r="A36" s="35" t="s">
        <v>47</v>
      </c>
      <c r="B36" s="47">
        <f>K8+B10*(E7-K9)/K10</f>
        <v>18.833333333333332</v>
      </c>
    </row>
  </sheetData>
  <mergeCells count="9">
    <mergeCell ref="I13:I14"/>
    <mergeCell ref="J13:J14"/>
    <mergeCell ref="A28:B28"/>
    <mergeCell ref="B13:B14"/>
    <mergeCell ref="C13:D13"/>
    <mergeCell ref="E13:E14"/>
    <mergeCell ref="F13:F14"/>
    <mergeCell ref="G13:G14"/>
    <mergeCell ref="H13:H1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4099" r:id="rId3">
          <objectPr defaultSize="0" autoPict="0" r:id="rId4">
            <anchor moveWithCells="1" sizeWithCells="1">
              <from>
                <xdr:col>0</xdr:col>
                <xdr:colOff>487680</xdr:colOff>
                <xdr:row>1</xdr:row>
                <xdr:rowOff>7620</xdr:rowOff>
              </from>
              <to>
                <xdr:col>0</xdr:col>
                <xdr:colOff>640080</xdr:colOff>
                <xdr:row>1</xdr:row>
                <xdr:rowOff>236220</xdr:rowOff>
              </to>
            </anchor>
          </objectPr>
        </oleObject>
      </mc:Choice>
      <mc:Fallback>
        <oleObject progId="Equation.3" shapeId="4099" r:id="rId3"/>
      </mc:Fallback>
    </mc:AlternateContent>
    <mc:AlternateContent xmlns:mc="http://schemas.openxmlformats.org/markup-compatibility/2006">
      <mc:Choice Requires="x14">
        <oleObject progId="Equation.3" shapeId="4098" r:id="rId5">
          <objectPr defaultSize="0" autoPict="0" r:id="rId6">
            <anchor moveWithCells="1" sizeWithCells="1">
              <from>
                <xdr:col>0</xdr:col>
                <xdr:colOff>487680</xdr:colOff>
                <xdr:row>2</xdr:row>
                <xdr:rowOff>7620</xdr:rowOff>
              </from>
              <to>
                <xdr:col>0</xdr:col>
                <xdr:colOff>640080</xdr:colOff>
                <xdr:row>3</xdr:row>
                <xdr:rowOff>7620</xdr:rowOff>
              </to>
            </anchor>
          </objectPr>
        </oleObject>
      </mc:Choice>
      <mc:Fallback>
        <oleObject progId="Equation.3" shapeId="4098" r:id="rId5"/>
      </mc:Fallback>
    </mc:AlternateContent>
    <mc:AlternateContent xmlns:mc="http://schemas.openxmlformats.org/markup-compatibility/2006">
      <mc:Choice Requires="x14">
        <oleObject progId="Equation.3" shapeId="4097" r:id="rId7">
          <objectPr defaultSize="0" autoPict="0" r:id="rId8">
            <anchor moveWithCells="1" siz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312420</xdr:colOff>
                <xdr:row>3</xdr:row>
                <xdr:rowOff>30480</xdr:rowOff>
              </to>
            </anchor>
          </objectPr>
        </oleObject>
      </mc:Choice>
      <mc:Fallback>
        <oleObject progId="Equation.3" shapeId="4097" r:id="rId7"/>
      </mc:Fallback>
    </mc:AlternateContent>
    <mc:AlternateContent xmlns:mc="http://schemas.openxmlformats.org/markup-compatibility/2006">
      <mc:Choice Requires="x14">
        <oleObject progId="Equation.DSMT4" shapeId="4100" r:id="rId9">
          <objectPr defaultSize="0" autoPict="0" r:id="rId10">
            <anchor moveWithCells="1" sizeWithCells="1">
              <from>
                <xdr:col>2</xdr:col>
                <xdr:colOff>259080</xdr:colOff>
                <xdr:row>27</xdr:row>
                <xdr:rowOff>0</xdr:rowOff>
              </from>
              <to>
                <xdr:col>5</xdr:col>
                <xdr:colOff>563880</xdr:colOff>
                <xdr:row>29</xdr:row>
                <xdr:rowOff>76200</xdr:rowOff>
              </to>
            </anchor>
          </objectPr>
        </oleObject>
      </mc:Choice>
      <mc:Fallback>
        <oleObject progId="Equation.DSMT4" shapeId="4100" r:id="rId9"/>
      </mc:Fallback>
    </mc:AlternateContent>
    <mc:AlternateContent xmlns:mc="http://schemas.openxmlformats.org/markup-compatibility/2006">
      <mc:Choice Requires="x14">
        <oleObject progId="Equation.DSMT4" shapeId="4101" r:id="rId11">
          <objectPr defaultSize="0" autoPict="0" r:id="rId12">
            <anchor moveWithCells="1" sizeWithCells="1">
              <from>
                <xdr:col>2</xdr:col>
                <xdr:colOff>259080</xdr:colOff>
                <xdr:row>29</xdr:row>
                <xdr:rowOff>30480</xdr:rowOff>
              </from>
              <to>
                <xdr:col>7</xdr:col>
                <xdr:colOff>198120</xdr:colOff>
                <xdr:row>31</xdr:row>
                <xdr:rowOff>106680</xdr:rowOff>
              </to>
            </anchor>
          </objectPr>
        </oleObject>
      </mc:Choice>
      <mc:Fallback>
        <oleObject progId="Equation.DSMT4" shapeId="4101" r:id="rId11"/>
      </mc:Fallback>
    </mc:AlternateContent>
    <mc:AlternateContent xmlns:mc="http://schemas.openxmlformats.org/markup-compatibility/2006">
      <mc:Choice Requires="x14">
        <oleObject progId="Equation.DSMT4" shapeId="4102" r:id="rId13">
          <objectPr defaultSize="0" autoPict="0" r:id="rId14">
            <anchor moveWithCells="1" sizeWithCells="1">
              <from>
                <xdr:col>2</xdr:col>
                <xdr:colOff>274320</xdr:colOff>
                <xdr:row>31</xdr:row>
                <xdr:rowOff>106680</xdr:rowOff>
              </from>
              <to>
                <xdr:col>5</xdr:col>
                <xdr:colOff>571500</xdr:colOff>
                <xdr:row>33</xdr:row>
                <xdr:rowOff>152400</xdr:rowOff>
              </to>
            </anchor>
          </objectPr>
        </oleObject>
      </mc:Choice>
      <mc:Fallback>
        <oleObject progId="Equation.DSMT4" shapeId="4102" r:id="rId13"/>
      </mc:Fallback>
    </mc:AlternateContent>
    <mc:AlternateContent xmlns:mc="http://schemas.openxmlformats.org/markup-compatibility/2006">
      <mc:Choice Requires="x14">
        <oleObject progId="Equation.DSMT4" shapeId="4103" r:id="rId15">
          <objectPr defaultSize="0" autoPict="0" r:id="rId16">
            <anchor moveWithCells="1" sizeWithCells="1">
              <from>
                <xdr:col>2</xdr:col>
                <xdr:colOff>297180</xdr:colOff>
                <xdr:row>33</xdr:row>
                <xdr:rowOff>182880</xdr:rowOff>
              </from>
              <to>
                <xdr:col>4</xdr:col>
                <xdr:colOff>525780</xdr:colOff>
                <xdr:row>36</xdr:row>
                <xdr:rowOff>38100</xdr:rowOff>
              </to>
            </anchor>
          </objectPr>
        </oleObject>
      </mc:Choice>
      <mc:Fallback>
        <oleObject progId="Equation.DSMT4" shapeId="4103" r:id="rId15"/>
      </mc:Fallback>
    </mc:AlternateContent>
    <mc:AlternateContent xmlns:mc="http://schemas.openxmlformats.org/markup-compatibility/2006">
      <mc:Choice Requires="x14">
        <oleObject progId="Equation.DSMT4" shapeId="4105" r:id="rId17">
          <objectPr defaultSize="0" autoPict="0" r:id="rId18">
            <anchor moveWithCells="1" sizeWithCells="1">
              <from>
                <xdr:col>2</xdr:col>
                <xdr:colOff>228600</xdr:colOff>
                <xdr:row>39</xdr:row>
                <xdr:rowOff>30480</xdr:rowOff>
              </from>
              <to>
                <xdr:col>5</xdr:col>
                <xdr:colOff>426720</xdr:colOff>
                <xdr:row>42</xdr:row>
                <xdr:rowOff>68580</xdr:rowOff>
              </to>
            </anchor>
          </objectPr>
        </oleObject>
      </mc:Choice>
      <mc:Fallback>
        <oleObject progId="Equation.DSMT4" shapeId="4105" r:id="rId17"/>
      </mc:Fallback>
    </mc:AlternateContent>
    <mc:AlternateContent xmlns:mc="http://schemas.openxmlformats.org/markup-compatibility/2006">
      <mc:Choice Requires="x14">
        <oleObject progId="Equation.DSMT4" shapeId="4106" r:id="rId19">
          <objectPr defaultSize="0" autoPict="0" r:id="rId20">
            <anchor moveWithCells="1" sizeWithCells="1">
              <from>
                <xdr:col>2</xdr:col>
                <xdr:colOff>259080</xdr:colOff>
                <xdr:row>35</xdr:row>
                <xdr:rowOff>144780</xdr:rowOff>
              </from>
              <to>
                <xdr:col>5</xdr:col>
                <xdr:colOff>525780</xdr:colOff>
                <xdr:row>39</xdr:row>
                <xdr:rowOff>68580</xdr:rowOff>
              </to>
            </anchor>
          </objectPr>
        </oleObject>
      </mc:Choice>
      <mc:Fallback>
        <oleObject progId="Equation.DSMT4" shapeId="4106" r:id="rId19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B8D9B4-50BE-4D33-A30C-EE0F4405D0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Задача 1</vt:lpstr>
      <vt:lpstr>Задача 2</vt:lpstr>
      <vt:lpstr>Задача 3</vt:lpstr>
      <vt:lpstr>Задача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2025-01-10T06:20:42Z</dcterms:created>
  <dcterms:modified xsi:type="dcterms:W3CDTF">2026-03-18T12:18:41Z</dcterms:modified>
</cp:coreProperties>
</file>