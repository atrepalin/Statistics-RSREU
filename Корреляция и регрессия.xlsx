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sha\Downloads\"/>
    </mc:Choice>
  </mc:AlternateContent>
  <xr:revisionPtr revIDLastSave="0" documentId="13_ncr:1_{CCA1079F-F02D-42A0-875B-1F3BC65E45AA}" xr6:coauthVersionLast="47" xr6:coauthVersionMax="47" xr10:uidLastSave="{00000000-0000-0000-0000-000000000000}"/>
  <bookViews>
    <workbookView xWindow="-120" yWindow="-120" windowWidth="29040" windowHeight="15720" activeTab="1" xr2:uid="{F56EBD02-353C-4723-9163-979C2BB487C2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2" l="1"/>
  <c r="B24" i="2"/>
  <c r="K22" i="2"/>
  <c r="C22" i="2"/>
  <c r="B22" i="2"/>
  <c r="K23" i="2"/>
  <c r="B23" i="2"/>
  <c r="B18" i="2"/>
  <c r="B17" i="2"/>
  <c r="B16" i="2"/>
  <c r="B15" i="2"/>
  <c r="K5" i="2"/>
  <c r="L5" i="2"/>
  <c r="B11" i="2"/>
  <c r="L6" i="2"/>
  <c r="L4" i="2"/>
  <c r="L3" i="2"/>
  <c r="L2" i="2"/>
  <c r="K6" i="2"/>
  <c r="J6" i="2"/>
  <c r="I6" i="2"/>
  <c r="H6" i="2"/>
  <c r="G6" i="2"/>
  <c r="J5" i="2"/>
  <c r="I5" i="2"/>
  <c r="H5" i="2"/>
  <c r="G5" i="2"/>
  <c r="K4" i="2"/>
  <c r="J4" i="2"/>
  <c r="I4" i="2"/>
  <c r="H4" i="2"/>
  <c r="G4" i="2"/>
  <c r="F6" i="2"/>
  <c r="E6" i="2"/>
  <c r="D6" i="2"/>
  <c r="C6" i="2"/>
  <c r="B6" i="2"/>
  <c r="F5" i="2"/>
  <c r="E5" i="2"/>
  <c r="D5" i="2"/>
  <c r="C5" i="2"/>
  <c r="B5" i="2"/>
  <c r="F4" i="2"/>
  <c r="E4" i="2"/>
  <c r="D4" i="2"/>
  <c r="C4" i="2"/>
  <c r="B4" i="2"/>
  <c r="B27" i="1"/>
  <c r="B26" i="1"/>
  <c r="B25" i="1"/>
  <c r="B24" i="1"/>
  <c r="B23" i="1"/>
  <c r="C23" i="1"/>
  <c r="D23" i="1"/>
  <c r="E23" i="1"/>
  <c r="F23" i="1"/>
  <c r="C22" i="1"/>
  <c r="D22" i="1"/>
  <c r="E22" i="1"/>
  <c r="F22" i="1"/>
  <c r="B22" i="1"/>
  <c r="B19" i="1"/>
  <c r="B18" i="1"/>
  <c r="B17" i="1"/>
  <c r="B16" i="1"/>
  <c r="B15" i="1"/>
  <c r="B12" i="1"/>
  <c r="B11" i="1"/>
  <c r="B10" i="1"/>
  <c r="B8" i="1"/>
  <c r="C6" i="1"/>
  <c r="D6" i="1"/>
  <c r="E6" i="1"/>
  <c r="F6" i="1"/>
  <c r="B6" i="1"/>
  <c r="G6" i="1" s="1"/>
  <c r="C5" i="1"/>
  <c r="D5" i="1"/>
  <c r="E5" i="1"/>
  <c r="F5" i="1"/>
  <c r="B5" i="1"/>
  <c r="G5" i="1" s="1"/>
  <c r="C4" i="1"/>
  <c r="D4" i="1"/>
  <c r="E4" i="1"/>
  <c r="F4" i="1"/>
  <c r="B4" i="1"/>
  <c r="G4" i="1" s="1"/>
  <c r="G3" i="1"/>
  <c r="G2" i="1"/>
  <c r="B9" i="1" s="1"/>
  <c r="B27" i="2" l="1"/>
  <c r="B9" i="2"/>
  <c r="B10" i="2"/>
  <c r="E23" i="2" s="1"/>
  <c r="D22" i="2"/>
  <c r="F22" i="2"/>
  <c r="E22" i="2"/>
  <c r="F23" i="2"/>
  <c r="D23" i="2"/>
  <c r="C23" i="2"/>
  <c r="B26" i="2"/>
  <c r="J23" i="2" l="1"/>
  <c r="I23" i="2"/>
  <c r="H23" i="2"/>
  <c r="G23" i="2"/>
  <c r="J22" i="2"/>
  <c r="I22" i="2"/>
  <c r="H22" i="2"/>
  <c r="G22" i="2"/>
  <c r="B19" i="2"/>
  <c r="B12" i="2"/>
</calcChain>
</file>

<file path=xl/sharedStrings.xml><?xml version="1.0" encoding="utf-8"?>
<sst xmlns="http://schemas.openxmlformats.org/spreadsheetml/2006/main" count="44" uniqueCount="22">
  <si>
    <t>X</t>
  </si>
  <si>
    <t>Y</t>
  </si>
  <si>
    <r>
      <t xml:space="preserve">Сумма </t>
    </r>
    <r>
      <rPr>
        <b/>
        <sz val="11"/>
        <color rgb="FF000000"/>
        <rFont val="Symbol"/>
        <family val="1"/>
        <charset val="2"/>
      </rPr>
      <t>å</t>
    </r>
  </si>
  <si>
    <r>
      <t>X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</si>
  <si>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XY</t>
  </si>
  <si>
    <t>n</t>
  </si>
  <si>
    <r>
      <t>Y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</si>
  <si>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Ẋ</t>
  </si>
  <si>
    <t>Ẏ</t>
  </si>
  <si>
    <t>a</t>
  </si>
  <si>
    <t>b</t>
  </si>
  <si>
    <t>Числитель</t>
  </si>
  <si>
    <t>Часть 1</t>
  </si>
  <si>
    <t>Часть 2</t>
  </si>
  <si>
    <t>Знаменатель</t>
  </si>
  <si>
    <t>r</t>
  </si>
  <si>
    <t>b =</t>
  </si>
  <si>
    <t>r =</t>
  </si>
  <si>
    <r>
      <t>s</t>
    </r>
    <r>
      <rPr>
        <b/>
        <vertAlign val="subscript"/>
        <sz val="11"/>
        <color rgb="FF000000"/>
        <rFont val="Times New Roman"/>
        <family val="1"/>
        <charset val="204"/>
      </rPr>
      <t>x</t>
    </r>
    <r>
      <rPr>
        <b/>
        <sz val="11"/>
        <color rgb="FF000000"/>
        <rFont val="Times New Roman"/>
        <family val="1"/>
        <charset val="204"/>
      </rPr>
      <t xml:space="preserve"> =</t>
    </r>
  </si>
  <si>
    <r>
      <t>s</t>
    </r>
    <r>
      <rPr>
        <b/>
        <vertAlign val="subscript"/>
        <sz val="11"/>
        <color rgb="FF000000"/>
        <rFont val="Times New Roman"/>
        <family val="1"/>
        <charset val="204"/>
      </rPr>
      <t>y</t>
    </r>
    <r>
      <rPr>
        <b/>
        <sz val="11"/>
        <color rgb="FF000000"/>
        <rFont val="Times New Roman"/>
        <family val="1"/>
        <charset val="204"/>
      </rPr>
      <t xml:space="preserve"> =</t>
    </r>
  </si>
  <si>
    <r>
      <t>(X-Ẋ)</t>
    </r>
    <r>
      <rPr>
        <b/>
        <vertAlign val="superscript"/>
        <sz val="11"/>
        <color theme="1"/>
        <rFont val="Calibri"/>
        <family val="2"/>
        <charset val="204"/>
      </rPr>
      <t>2</t>
    </r>
  </si>
  <si>
    <r>
      <t>(Y-Ẏ)</t>
    </r>
    <r>
      <rPr>
        <b/>
        <vertAlign val="superscript"/>
        <sz val="11"/>
        <color theme="1"/>
        <rFont val="Calibri"/>
        <family val="2"/>
        <charset val="204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</si>
</sst>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Aptos Narrow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b/>
      <sz val="11"/>
      <color rgb="FF000000"/>
      <name val="Symbol"/>
      <family val="1"/>
      <charset val="2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sz val="11"/>
      <color theme="1"/>
      <name val="Calibri"/>
      <family val="2"/>
      <charset val="204"/>
    </font>
    <font>
      <b/>
      <i/>
      <sz val="11"/>
      <color theme="1"/>
      <name val="Aptos Narrow"/>
      <family val="2"/>
      <scheme val="minor"/>
    </font>
    <font>
      <b/>
      <vertAlign val="subscript"/>
      <sz val="11"/>
      <color rgb="FF000000"/>
      <name val="Times New Roman"/>
      <family val="1"/>
      <charset val="204"/>
    </font>
    <font>
      <b/>
      <vertAlign val="superscript"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2" borderId="1" xfId="0" applyFont="1" applyFill="1" applyBorder="1" applyAlignment="1">
      <alignment horizontal="justify" vertical="center"/>
    </xf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0" fontId="5" fillId="0" borderId="1" xfId="0" applyFont="1" applyBorder="1"/>
    <xf numFmtId="164" fontId="5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Лист1!$A$3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Лист1!$B$2:$F$2</c:f>
              <c:numCache>
                <c:formatCode>General</c:formatCode>
                <c:ptCount val="5"/>
                <c:pt idx="0">
                  <c:v>165</c:v>
                </c:pt>
                <c:pt idx="1">
                  <c:v>170</c:v>
                </c:pt>
                <c:pt idx="2">
                  <c:v>175</c:v>
                </c:pt>
                <c:pt idx="3">
                  <c:v>180</c:v>
                </c:pt>
                <c:pt idx="4">
                  <c:v>185</c:v>
                </c:pt>
              </c:numCache>
            </c:numRef>
          </c:xVal>
          <c:yVal>
            <c:numRef>
              <c:f>Лист1!$B$3:$F$3</c:f>
              <c:numCache>
                <c:formatCode>General</c:formatCode>
                <c:ptCount val="5"/>
                <c:pt idx="0">
                  <c:v>168</c:v>
                </c:pt>
                <c:pt idx="1">
                  <c:v>172</c:v>
                </c:pt>
                <c:pt idx="2">
                  <c:v>174</c:v>
                </c:pt>
                <c:pt idx="3">
                  <c:v>178</c:v>
                </c:pt>
                <c:pt idx="4">
                  <c:v>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86-4061-8400-EC90EAC36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188280"/>
        <c:axId val="461195120"/>
      </c:scatterChart>
      <c:valAx>
        <c:axId val="461188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195120"/>
        <c:crosses val="autoZero"/>
        <c:crossBetween val="midCat"/>
      </c:valAx>
      <c:valAx>
        <c:axId val="46119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188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Лист2!$A$3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Лист2!$B$2:$K$2</c:f>
              <c:numCache>
                <c:formatCode>General</c:formatCode>
                <c:ptCount val="10"/>
                <c:pt idx="0">
                  <c:v>4.5</c:v>
                </c:pt>
                <c:pt idx="1">
                  <c:v>5.0999999999999996</c:v>
                </c:pt>
                <c:pt idx="2">
                  <c:v>5.2</c:v>
                </c:pt>
                <c:pt idx="3">
                  <c:v>5.2</c:v>
                </c:pt>
                <c:pt idx="4">
                  <c:v>5.3</c:v>
                </c:pt>
                <c:pt idx="5">
                  <c:v>5.4</c:v>
                </c:pt>
                <c:pt idx="6">
                  <c:v>5.5</c:v>
                </c:pt>
                <c:pt idx="7">
                  <c:v>5.7</c:v>
                </c:pt>
                <c:pt idx="8">
                  <c:v>5.7</c:v>
                </c:pt>
                <c:pt idx="9">
                  <c:v>6.4</c:v>
                </c:pt>
              </c:numCache>
            </c:numRef>
          </c:xVal>
          <c:yVal>
            <c:numRef>
              <c:f>Лист2!$B$3:$K$3</c:f>
              <c:numCache>
                <c:formatCode>General</c:formatCode>
                <c:ptCount val="10"/>
                <c:pt idx="0">
                  <c:v>89</c:v>
                </c:pt>
                <c:pt idx="1">
                  <c:v>87</c:v>
                </c:pt>
                <c:pt idx="2">
                  <c:v>76</c:v>
                </c:pt>
                <c:pt idx="3">
                  <c:v>55</c:v>
                </c:pt>
                <c:pt idx="4">
                  <c:v>48</c:v>
                </c:pt>
                <c:pt idx="5">
                  <c:v>46</c:v>
                </c:pt>
                <c:pt idx="6">
                  <c:v>41</c:v>
                </c:pt>
                <c:pt idx="7">
                  <c:v>28</c:v>
                </c:pt>
                <c:pt idx="8">
                  <c:v>18</c:v>
                </c:pt>
                <c:pt idx="9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21-4894-B141-85B5B8CA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925656"/>
        <c:axId val="603926016"/>
      </c:scatterChart>
      <c:valAx>
        <c:axId val="603925656"/>
        <c:scaling>
          <c:orientation val="minMax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3926016"/>
        <c:crosses val="autoZero"/>
        <c:crossBetween val="midCat"/>
      </c:valAx>
      <c:valAx>
        <c:axId val="60392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3925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1.xml"/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7</xdr:row>
          <xdr:rowOff>0</xdr:rowOff>
        </xdr:from>
        <xdr:to>
          <xdr:col>5</xdr:col>
          <xdr:colOff>581025</xdr:colOff>
          <xdr:row>11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38100</xdr:colOff>
          <xdr:row>11</xdr:row>
          <xdr:rowOff>171450</xdr:rowOff>
        </xdr:from>
        <xdr:to>
          <xdr:col>4</xdr:col>
          <xdr:colOff>85725</xdr:colOff>
          <xdr:row>13</xdr:row>
          <xdr:rowOff>28575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3</xdr:col>
      <xdr:colOff>38100</xdr:colOff>
      <xdr:row>15</xdr:row>
      <xdr:rowOff>76065</xdr:rowOff>
    </xdr:from>
    <xdr:to>
      <xdr:col>8</xdr:col>
      <xdr:colOff>409071</xdr:colOff>
      <xdr:row>18</xdr:row>
      <xdr:rowOff>38021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2971665"/>
          <a:ext cx="3418971" cy="533456"/>
        </a:xfrm>
        <a:prstGeom prst="rect">
          <a:avLst/>
        </a:prstGeom>
      </xdr:spPr>
    </xdr:pic>
    <xdr:clientData/>
  </xdr:twoCellAnchor>
  <xdr:twoCellAnchor>
    <xdr:from>
      <xdr:col>8</xdr:col>
      <xdr:colOff>494568</xdr:colOff>
      <xdr:row>1</xdr:row>
      <xdr:rowOff>86458</xdr:rowOff>
    </xdr:from>
    <xdr:to>
      <xdr:col>16</xdr:col>
      <xdr:colOff>201491</xdr:colOff>
      <xdr:row>15</xdr:row>
      <xdr:rowOff>118696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483577</xdr:colOff>
      <xdr:row>24</xdr:row>
      <xdr:rowOff>87924</xdr:rowOff>
    </xdr:from>
    <xdr:to>
      <xdr:col>8</xdr:col>
      <xdr:colOff>389197</xdr:colOff>
      <xdr:row>33</xdr:row>
      <xdr:rowOff>175846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27385" y="4791809"/>
          <a:ext cx="3554427" cy="18317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323850</xdr:colOff>
          <xdr:row>7</xdr:row>
          <xdr:rowOff>0</xdr:rowOff>
        </xdr:from>
        <xdr:to>
          <xdr:col>7</xdr:col>
          <xdr:colOff>219075</xdr:colOff>
          <xdr:row>11</xdr:row>
          <xdr:rowOff>123825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323850</xdr:colOff>
          <xdr:row>12</xdr:row>
          <xdr:rowOff>76200</xdr:rowOff>
        </xdr:from>
        <xdr:to>
          <xdr:col>5</xdr:col>
          <xdr:colOff>371475</xdr:colOff>
          <xdr:row>13</xdr:row>
          <xdr:rowOff>123825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76200</xdr:colOff>
      <xdr:row>15</xdr:row>
      <xdr:rowOff>190365</xdr:rowOff>
    </xdr:from>
    <xdr:to>
      <xdr:col>9</xdr:col>
      <xdr:colOff>447171</xdr:colOff>
      <xdr:row>18</xdr:row>
      <xdr:rowOff>152321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8475" y="3085965"/>
          <a:ext cx="3418971" cy="533456"/>
        </a:xfrm>
        <a:prstGeom prst="rect">
          <a:avLst/>
        </a:prstGeom>
      </xdr:spPr>
    </xdr:pic>
    <xdr:clientData/>
  </xdr:twoCellAnchor>
  <xdr:twoCellAnchor editAs="oneCell">
    <xdr:from>
      <xdr:col>4</xdr:col>
      <xdr:colOff>140677</xdr:colOff>
      <xdr:row>27</xdr:row>
      <xdr:rowOff>126024</xdr:rowOff>
    </xdr:from>
    <xdr:to>
      <xdr:col>10</xdr:col>
      <xdr:colOff>46297</xdr:colOff>
      <xdr:row>37</xdr:row>
      <xdr:rowOff>80596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02952" y="5421924"/>
          <a:ext cx="3563220" cy="1859572"/>
        </a:xfrm>
        <a:prstGeom prst="rect">
          <a:avLst/>
        </a:prstGeom>
      </xdr:spPr>
    </xdr:pic>
    <xdr:clientData/>
  </xdr:twoCellAnchor>
  <xdr:twoCellAnchor>
    <xdr:from>
      <xdr:col>12</xdr:col>
      <xdr:colOff>314325</xdr:colOff>
      <xdr:row>6</xdr:row>
      <xdr:rowOff>90487</xdr:rowOff>
    </xdr:from>
    <xdr:to>
      <xdr:col>20</xdr:col>
      <xdr:colOff>9525</xdr:colOff>
      <xdr:row>20</xdr:row>
      <xdr:rowOff>166687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w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image" Target="../media/image1.emf"/><Relationship Id="rId5" Type="http://schemas.openxmlformats.org/officeDocument/2006/relationships/oleObject" Target="../embeddings/oleObject4.bin"/><Relationship Id="rId4" Type="http://schemas.openxmlformats.org/officeDocument/2006/relationships/image" Target="../media/image2.w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787B1-863F-4163-B7F4-ABAA2EFB70BC}">
  <dimension ref="A1:G27"/>
  <sheetViews>
    <sheetView zoomScale="115" zoomScaleNormal="115" workbookViewId="0">
      <selection activeCell="K23" sqref="K23"/>
    </sheetView>
  </sheetViews>
  <sheetFormatPr defaultRowHeight="15" x14ac:dyDescent="0.25"/>
  <cols>
    <col min="1" max="1" width="13.42578125" customWidth="1"/>
    <col min="2" max="2" width="12.7109375" bestFit="1" customWidth="1"/>
  </cols>
  <sheetData>
    <row r="1" spans="1:7" x14ac:dyDescent="0.25">
      <c r="A1" s="3"/>
      <c r="B1" s="3"/>
      <c r="C1" s="3"/>
      <c r="D1" s="3"/>
      <c r="E1" s="3"/>
      <c r="F1" s="3"/>
      <c r="G1" s="4" t="s">
        <v>2</v>
      </c>
    </row>
    <row r="2" spans="1:7" x14ac:dyDescent="0.25">
      <c r="A2" s="2" t="s">
        <v>0</v>
      </c>
      <c r="B2" s="1">
        <v>165</v>
      </c>
      <c r="C2" s="1">
        <v>170</v>
      </c>
      <c r="D2" s="1">
        <v>175</v>
      </c>
      <c r="E2" s="1">
        <v>180</v>
      </c>
      <c r="F2" s="1">
        <v>185</v>
      </c>
      <c r="G2" s="6">
        <f>SUM(B2:F2)</f>
        <v>875</v>
      </c>
    </row>
    <row r="3" spans="1:7" x14ac:dyDescent="0.25">
      <c r="A3" s="2" t="s">
        <v>1</v>
      </c>
      <c r="B3" s="1">
        <v>168</v>
      </c>
      <c r="C3" s="1">
        <v>172</v>
      </c>
      <c r="D3" s="1">
        <v>174</v>
      </c>
      <c r="E3" s="1">
        <v>178</v>
      </c>
      <c r="F3" s="1">
        <v>182</v>
      </c>
      <c r="G3" s="6">
        <f t="shared" ref="G3:G6" si="0">SUM(B3:F3)</f>
        <v>874</v>
      </c>
    </row>
    <row r="4" spans="1:7" ht="16.5" x14ac:dyDescent="0.25">
      <c r="A4" s="5" t="s">
        <v>3</v>
      </c>
      <c r="B4" s="6">
        <f>B2^2</f>
        <v>27225</v>
      </c>
      <c r="C4" s="6">
        <f t="shared" ref="C4:F4" si="1">C2^2</f>
        <v>28900</v>
      </c>
      <c r="D4" s="6">
        <f t="shared" si="1"/>
        <v>30625</v>
      </c>
      <c r="E4" s="6">
        <f t="shared" si="1"/>
        <v>32400</v>
      </c>
      <c r="F4" s="6">
        <f t="shared" si="1"/>
        <v>34225</v>
      </c>
      <c r="G4" s="6">
        <f t="shared" si="0"/>
        <v>153375</v>
      </c>
    </row>
    <row r="5" spans="1:7" ht="16.5" x14ac:dyDescent="0.25">
      <c r="A5" s="5" t="s">
        <v>6</v>
      </c>
      <c r="B5" s="6">
        <f>B3^2</f>
        <v>28224</v>
      </c>
      <c r="C5" s="6">
        <f t="shared" ref="C5:F5" si="2">C3^2</f>
        <v>29584</v>
      </c>
      <c r="D5" s="6">
        <f t="shared" si="2"/>
        <v>30276</v>
      </c>
      <c r="E5" s="6">
        <f t="shared" si="2"/>
        <v>31684</v>
      </c>
      <c r="F5" s="6">
        <f t="shared" si="2"/>
        <v>33124</v>
      </c>
      <c r="G5" s="6">
        <f t="shared" si="0"/>
        <v>152892</v>
      </c>
    </row>
    <row r="6" spans="1:7" x14ac:dyDescent="0.25">
      <c r="A6" s="5" t="s">
        <v>4</v>
      </c>
      <c r="B6" s="6">
        <f>B2*B3</f>
        <v>27720</v>
      </c>
      <c r="C6" s="6">
        <f t="shared" ref="C6:F6" si="3">C2*C3</f>
        <v>29240</v>
      </c>
      <c r="D6" s="6">
        <f t="shared" si="3"/>
        <v>30450</v>
      </c>
      <c r="E6" s="6">
        <f t="shared" si="3"/>
        <v>32040</v>
      </c>
      <c r="F6" s="6">
        <f t="shared" si="3"/>
        <v>33670</v>
      </c>
      <c r="G6" s="6">
        <f t="shared" si="0"/>
        <v>153120</v>
      </c>
    </row>
    <row r="8" spans="1:7" x14ac:dyDescent="0.25">
      <c r="A8" s="2" t="s">
        <v>5</v>
      </c>
      <c r="B8" s="6">
        <f>5</f>
        <v>5</v>
      </c>
    </row>
    <row r="9" spans="1:7" x14ac:dyDescent="0.25">
      <c r="A9" s="7" t="s">
        <v>7</v>
      </c>
      <c r="B9" s="6">
        <f>G2/$B$8</f>
        <v>175</v>
      </c>
    </row>
    <row r="10" spans="1:7" x14ac:dyDescent="0.25">
      <c r="A10" s="7" t="s">
        <v>8</v>
      </c>
      <c r="B10" s="6">
        <f>G3/$B$8</f>
        <v>174.8</v>
      </c>
    </row>
    <row r="11" spans="1:7" x14ac:dyDescent="0.25">
      <c r="A11" s="8" t="s">
        <v>10</v>
      </c>
      <c r="B11" s="9">
        <f>(B8*G6-G2*G3)/(B8*G4-G2^2)</f>
        <v>0.68</v>
      </c>
    </row>
    <row r="12" spans="1:7" x14ac:dyDescent="0.25">
      <c r="A12" s="8" t="s">
        <v>9</v>
      </c>
      <c r="B12" s="9">
        <f>B10-B11*B9</f>
        <v>55.8</v>
      </c>
    </row>
    <row r="15" spans="1:7" x14ac:dyDescent="0.25">
      <c r="A15" s="2" t="s">
        <v>11</v>
      </c>
      <c r="B15" s="6">
        <f>B8*G6-G2*G3</f>
        <v>850</v>
      </c>
    </row>
    <row r="16" spans="1:7" x14ac:dyDescent="0.25">
      <c r="A16" s="2" t="s">
        <v>12</v>
      </c>
      <c r="B16" s="6">
        <f>$B$8*G4-G2^2</f>
        <v>1250</v>
      </c>
    </row>
    <row r="17" spans="1:6" x14ac:dyDescent="0.25">
      <c r="A17" s="2" t="s">
        <v>13</v>
      </c>
      <c r="B17" s="6">
        <f>$B$8*G5-G3^2</f>
        <v>584</v>
      </c>
    </row>
    <row r="18" spans="1:6" x14ac:dyDescent="0.25">
      <c r="A18" s="2" t="s">
        <v>14</v>
      </c>
      <c r="B18" s="11">
        <f>(B16*B17)^0.5</f>
        <v>854.40037453175307</v>
      </c>
    </row>
    <row r="19" spans="1:6" x14ac:dyDescent="0.25">
      <c r="A19" s="10" t="s">
        <v>15</v>
      </c>
      <c r="B19" s="12">
        <f>B15/B18</f>
        <v>0.99484975116710983</v>
      </c>
    </row>
    <row r="22" spans="1:6" ht="17.25" x14ac:dyDescent="0.25">
      <c r="A22" s="7" t="s">
        <v>20</v>
      </c>
      <c r="B22" s="13">
        <f>(B2-$B9)^2</f>
        <v>100</v>
      </c>
      <c r="C22" s="13">
        <f t="shared" ref="C22:F23" si="4">(C2-$B9)^2</f>
        <v>25</v>
      </c>
      <c r="D22" s="13">
        <f t="shared" si="4"/>
        <v>0</v>
      </c>
      <c r="E22" s="13">
        <f t="shared" si="4"/>
        <v>25</v>
      </c>
      <c r="F22" s="13">
        <f t="shared" si="4"/>
        <v>100</v>
      </c>
    </row>
    <row r="23" spans="1:6" ht="17.25" x14ac:dyDescent="0.25">
      <c r="A23" s="7" t="s">
        <v>21</v>
      </c>
      <c r="B23" s="13">
        <f>(B3-$B10)^2</f>
        <v>46.240000000000151</v>
      </c>
      <c r="C23" s="13">
        <f t="shared" si="4"/>
        <v>7.8400000000000638</v>
      </c>
      <c r="D23" s="13">
        <f t="shared" si="4"/>
        <v>0.64000000000001822</v>
      </c>
      <c r="E23" s="13">
        <f t="shared" si="4"/>
        <v>10.239999999999927</v>
      </c>
      <c r="F23" s="13">
        <f t="shared" si="4"/>
        <v>51.839999999999833</v>
      </c>
    </row>
    <row r="24" spans="1:6" ht="17.25" x14ac:dyDescent="0.25">
      <c r="A24" s="10" t="s">
        <v>18</v>
      </c>
      <c r="B24" s="14">
        <f>(SUM(B22:F22)/($B$8-1))^0.5</f>
        <v>7.9056941504209481</v>
      </c>
    </row>
    <row r="25" spans="1:6" ht="17.25" x14ac:dyDescent="0.25">
      <c r="A25" s="10" t="s">
        <v>19</v>
      </c>
      <c r="B25" s="14">
        <f>(SUM(B23:F23)/($B$8-1))^0.5</f>
        <v>5.4037024344425184</v>
      </c>
    </row>
    <row r="26" spans="1:6" x14ac:dyDescent="0.25">
      <c r="A26" s="10" t="s">
        <v>16</v>
      </c>
      <c r="B26" s="15">
        <f>B11</f>
        <v>0.68</v>
      </c>
    </row>
    <row r="27" spans="1:6" x14ac:dyDescent="0.25">
      <c r="A27" s="10" t="s">
        <v>17</v>
      </c>
      <c r="B27" s="16">
        <f>B26*B24/B25</f>
        <v>0.99484975116710983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1025" r:id="rId4">
          <objectPr defaultSize="0" autoPict="0" r:id="rId5">
            <anchor moveWithCells="1" sizeWithCells="1">
              <from>
                <xdr:col>3</xdr:col>
                <xdr:colOff>76200</xdr:colOff>
                <xdr:row>7</xdr:row>
                <xdr:rowOff>0</xdr:rowOff>
              </from>
              <to>
                <xdr:col>5</xdr:col>
                <xdr:colOff>581025</xdr:colOff>
                <xdr:row>11</xdr:row>
                <xdr:rowOff>123825</xdr:rowOff>
              </to>
            </anchor>
          </objectPr>
        </oleObject>
      </mc:Choice>
      <mc:Fallback>
        <oleObject progId="Equation.DSMT4" shapeId="1025" r:id="rId4"/>
      </mc:Fallback>
    </mc:AlternateContent>
    <mc:AlternateContent xmlns:mc="http://schemas.openxmlformats.org/markup-compatibility/2006">
      <mc:Choice Requires="x14">
        <oleObject progId="Equation.DSMT4" shapeId="1026" r:id="rId6">
          <objectPr defaultSize="0" autoPict="0" r:id="rId7">
            <anchor moveWithCells="1" sizeWithCells="1">
              <from>
                <xdr:col>3</xdr:col>
                <xdr:colOff>38100</xdr:colOff>
                <xdr:row>11</xdr:row>
                <xdr:rowOff>171450</xdr:rowOff>
              </from>
              <to>
                <xdr:col>4</xdr:col>
                <xdr:colOff>85725</xdr:colOff>
                <xdr:row>13</xdr:row>
                <xdr:rowOff>28575</xdr:rowOff>
              </to>
            </anchor>
          </objectPr>
        </oleObject>
      </mc:Choice>
      <mc:Fallback>
        <oleObject progId="Equation.DSMT4" shapeId="1026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3C21F-04A7-4D19-9B96-6DAC82CF32FE}">
  <dimension ref="A1:L27"/>
  <sheetViews>
    <sheetView tabSelected="1" workbookViewId="0">
      <selection activeCell="J13" sqref="J13"/>
    </sheetView>
  </sheetViews>
  <sheetFormatPr defaultRowHeight="15" x14ac:dyDescent="0.25"/>
  <cols>
    <col min="1" max="1" width="13.42578125" customWidth="1"/>
    <col min="2" max="2" width="12.7109375" bestFit="1" customWidth="1"/>
  </cols>
  <sheetData>
    <row r="1" spans="1:12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4" t="s">
        <v>2</v>
      </c>
    </row>
    <row r="2" spans="1:12" x14ac:dyDescent="0.25">
      <c r="A2" s="2" t="s">
        <v>0</v>
      </c>
      <c r="B2" s="1">
        <v>4.5</v>
      </c>
      <c r="C2" s="1">
        <v>5.0999999999999996</v>
      </c>
      <c r="D2" s="1">
        <v>5.2</v>
      </c>
      <c r="E2" s="1">
        <v>5.2</v>
      </c>
      <c r="F2" s="1">
        <v>5.3</v>
      </c>
      <c r="G2" s="1">
        <v>5.4</v>
      </c>
      <c r="H2" s="1">
        <v>5.5</v>
      </c>
      <c r="I2" s="1">
        <v>5.7</v>
      </c>
      <c r="J2" s="1">
        <v>5.7</v>
      </c>
      <c r="K2" s="1">
        <v>6.4</v>
      </c>
      <c r="L2" s="6">
        <f>SUM(B2:K2)</f>
        <v>54.000000000000007</v>
      </c>
    </row>
    <row r="3" spans="1:12" x14ac:dyDescent="0.25">
      <c r="A3" s="2" t="s">
        <v>1</v>
      </c>
      <c r="B3" s="1">
        <v>89</v>
      </c>
      <c r="C3" s="1">
        <v>87</v>
      </c>
      <c r="D3" s="1">
        <v>76</v>
      </c>
      <c r="E3" s="1">
        <v>55</v>
      </c>
      <c r="F3" s="1">
        <v>48</v>
      </c>
      <c r="G3" s="1">
        <v>46</v>
      </c>
      <c r="H3" s="1">
        <v>41</v>
      </c>
      <c r="I3" s="1">
        <v>28</v>
      </c>
      <c r="J3" s="1">
        <v>18</v>
      </c>
      <c r="K3" s="1">
        <v>14</v>
      </c>
      <c r="L3" s="6">
        <f>SUM(B3:K3)</f>
        <v>502</v>
      </c>
    </row>
    <row r="4" spans="1:12" ht="16.5" x14ac:dyDescent="0.25">
      <c r="A4" s="5" t="s">
        <v>3</v>
      </c>
      <c r="B4" s="6">
        <f>B2^2</f>
        <v>20.25</v>
      </c>
      <c r="C4" s="6">
        <f t="shared" ref="C4:F5" si="0">C2^2</f>
        <v>26.009999999999998</v>
      </c>
      <c r="D4" s="6">
        <f t="shared" si="0"/>
        <v>27.040000000000003</v>
      </c>
      <c r="E4" s="6">
        <f t="shared" si="0"/>
        <v>27.040000000000003</v>
      </c>
      <c r="F4" s="6">
        <f t="shared" si="0"/>
        <v>28.09</v>
      </c>
      <c r="G4" s="6">
        <f>G2^2</f>
        <v>29.160000000000004</v>
      </c>
      <c r="H4" s="6">
        <f t="shared" ref="H4:K4" si="1">H2^2</f>
        <v>30.25</v>
      </c>
      <c r="I4" s="6">
        <f t="shared" si="1"/>
        <v>32.49</v>
      </c>
      <c r="J4" s="6">
        <f t="shared" si="1"/>
        <v>32.49</v>
      </c>
      <c r="K4" s="6">
        <f t="shared" si="1"/>
        <v>40.960000000000008</v>
      </c>
      <c r="L4" s="6">
        <f>SUM(B4:K4)</f>
        <v>293.78000000000003</v>
      </c>
    </row>
    <row r="5" spans="1:12" ht="16.5" x14ac:dyDescent="0.25">
      <c r="A5" s="5" t="s">
        <v>6</v>
      </c>
      <c r="B5" s="6">
        <f>B3^2</f>
        <v>7921</v>
      </c>
      <c r="C5" s="6">
        <f t="shared" si="0"/>
        <v>7569</v>
      </c>
      <c r="D5" s="6">
        <f t="shared" si="0"/>
        <v>5776</v>
      </c>
      <c r="E5" s="6">
        <f t="shared" si="0"/>
        <v>3025</v>
      </c>
      <c r="F5" s="6">
        <f t="shared" si="0"/>
        <v>2304</v>
      </c>
      <c r="G5" s="6">
        <f>G3^2</f>
        <v>2116</v>
      </c>
      <c r="H5" s="6">
        <f t="shared" ref="H5:J5" si="2">H3^2</f>
        <v>1681</v>
      </c>
      <c r="I5" s="6">
        <f t="shared" si="2"/>
        <v>784</v>
      </c>
      <c r="J5" s="6">
        <f t="shared" si="2"/>
        <v>324</v>
      </c>
      <c r="K5" s="6">
        <f>K3^2</f>
        <v>196</v>
      </c>
      <c r="L5" s="6">
        <f>SUM(B5:K5)</f>
        <v>31696</v>
      </c>
    </row>
    <row r="6" spans="1:12" x14ac:dyDescent="0.25">
      <c r="A6" s="5" t="s">
        <v>4</v>
      </c>
      <c r="B6" s="6">
        <f>B2*B3</f>
        <v>400.5</v>
      </c>
      <c r="C6" s="6">
        <f t="shared" ref="C6:F6" si="3">C2*C3</f>
        <v>443.7</v>
      </c>
      <c r="D6" s="6">
        <f t="shared" si="3"/>
        <v>395.2</v>
      </c>
      <c r="E6" s="6">
        <f t="shared" si="3"/>
        <v>286</v>
      </c>
      <c r="F6" s="6">
        <f t="shared" si="3"/>
        <v>254.39999999999998</v>
      </c>
      <c r="G6" s="6">
        <f>G2*G3</f>
        <v>248.4</v>
      </c>
      <c r="H6" s="6">
        <f t="shared" ref="H6:K6" si="4">H2*H3</f>
        <v>225.5</v>
      </c>
      <c r="I6" s="6">
        <f t="shared" si="4"/>
        <v>159.6</v>
      </c>
      <c r="J6" s="6">
        <f t="shared" si="4"/>
        <v>102.60000000000001</v>
      </c>
      <c r="K6" s="6">
        <f t="shared" si="4"/>
        <v>89.600000000000009</v>
      </c>
      <c r="L6" s="6">
        <f t="shared" ref="L6" si="5">SUM(B6:K6)</f>
        <v>2605.5</v>
      </c>
    </row>
    <row r="8" spans="1:12" x14ac:dyDescent="0.25">
      <c r="A8" s="2" t="s">
        <v>5</v>
      </c>
      <c r="B8" s="6">
        <v>10</v>
      </c>
    </row>
    <row r="9" spans="1:12" x14ac:dyDescent="0.25">
      <c r="A9" s="7" t="s">
        <v>7</v>
      </c>
      <c r="B9" s="6">
        <f>L2/$B$8</f>
        <v>5.4</v>
      </c>
    </row>
    <row r="10" spans="1:12" x14ac:dyDescent="0.25">
      <c r="A10" s="7" t="s">
        <v>8</v>
      </c>
      <c r="B10" s="6">
        <f>L3/$B$8</f>
        <v>50.2</v>
      </c>
    </row>
    <row r="11" spans="1:12" x14ac:dyDescent="0.25">
      <c r="A11" s="8" t="s">
        <v>10</v>
      </c>
      <c r="B11" s="9">
        <f>(B8*L6-L2*L3)/(B8*L4-L2^2)</f>
        <v>-48.302752293579758</v>
      </c>
    </row>
    <row r="12" spans="1:12" x14ac:dyDescent="0.25">
      <c r="A12" s="8" t="s">
        <v>9</v>
      </c>
      <c r="B12" s="9">
        <f>B10-B11*B9</f>
        <v>311.03486238533071</v>
      </c>
    </row>
    <row r="15" spans="1:12" x14ac:dyDescent="0.25">
      <c r="A15" s="2" t="s">
        <v>11</v>
      </c>
      <c r="B15" s="6">
        <f>B8*L6-L2*L3</f>
        <v>-1053.0000000000036</v>
      </c>
    </row>
    <row r="16" spans="1:12" x14ac:dyDescent="0.25">
      <c r="A16" s="2" t="s">
        <v>12</v>
      </c>
      <c r="B16" s="6">
        <f>$B$8*L4-L2^2</f>
        <v>21.799999999999272</v>
      </c>
    </row>
    <row r="17" spans="1:11" x14ac:dyDescent="0.25">
      <c r="A17" s="2" t="s">
        <v>13</v>
      </c>
      <c r="B17" s="6">
        <f>$B$8*L5-L3^2</f>
        <v>64956</v>
      </c>
    </row>
    <row r="18" spans="1:11" x14ac:dyDescent="0.25">
      <c r="A18" s="2" t="s">
        <v>14</v>
      </c>
      <c r="B18" s="11">
        <f>(B16*B17)^0.5</f>
        <v>1189.9751257904313</v>
      </c>
    </row>
    <row r="19" spans="1:11" x14ac:dyDescent="0.25">
      <c r="A19" s="10" t="s">
        <v>15</v>
      </c>
      <c r="B19" s="12">
        <f>B15/B18</f>
        <v>-0.88489244621861896</v>
      </c>
    </row>
    <row r="22" spans="1:11" ht="17.25" x14ac:dyDescent="0.25">
      <c r="A22" s="7" t="s">
        <v>20</v>
      </c>
      <c r="B22" s="13">
        <f>(B2-$B9)^2</f>
        <v>0.81000000000000061</v>
      </c>
      <c r="C22" s="13">
        <f>(C2-$B9)^2</f>
        <v>9.0000000000000427E-2</v>
      </c>
      <c r="D22" s="13">
        <f t="shared" ref="C22:F23" si="6">(D2-$B9)^2</f>
        <v>4.000000000000007E-2</v>
      </c>
      <c r="E22" s="13">
        <f t="shared" si="6"/>
        <v>4.000000000000007E-2</v>
      </c>
      <c r="F22" s="13">
        <f t="shared" si="6"/>
        <v>1.0000000000000106E-2</v>
      </c>
      <c r="G22" s="13">
        <f>(G2-$B9)^2</f>
        <v>0</v>
      </c>
      <c r="H22" s="13">
        <f t="shared" ref="H22:J22" si="7">(H2-$B9)^2</f>
        <v>9.9999999999999291E-3</v>
      </c>
      <c r="I22" s="13">
        <f t="shared" si="7"/>
        <v>8.99999999999999E-2</v>
      </c>
      <c r="J22" s="13">
        <f t="shared" si="7"/>
        <v>8.99999999999999E-2</v>
      </c>
      <c r="K22" s="13">
        <f>(K2-$B9)^2</f>
        <v>1</v>
      </c>
    </row>
    <row r="23" spans="1:11" ht="17.25" x14ac:dyDescent="0.25">
      <c r="A23" s="7" t="s">
        <v>21</v>
      </c>
      <c r="B23" s="13">
        <f>(B3-$B10)^2</f>
        <v>1505.4399999999998</v>
      </c>
      <c r="C23" s="13">
        <f t="shared" si="6"/>
        <v>1354.2399999999998</v>
      </c>
      <c r="D23" s="13">
        <f t="shared" si="6"/>
        <v>665.63999999999987</v>
      </c>
      <c r="E23" s="13">
        <f t="shared" si="6"/>
        <v>23.039999999999974</v>
      </c>
      <c r="F23" s="13">
        <f t="shared" si="6"/>
        <v>4.8400000000000123</v>
      </c>
      <c r="G23" s="13">
        <f>(G3-$B10)^2</f>
        <v>17.640000000000025</v>
      </c>
      <c r="H23" s="13">
        <f t="shared" ref="H23:J23" si="8">(H3-$B10)^2</f>
        <v>84.640000000000057</v>
      </c>
      <c r="I23" s="13">
        <f t="shared" si="8"/>
        <v>492.84000000000015</v>
      </c>
      <c r="J23" s="13">
        <f t="shared" si="8"/>
        <v>1036.8400000000001</v>
      </c>
      <c r="K23" s="13">
        <f>(K3-$B10)^2</f>
        <v>1310.4400000000003</v>
      </c>
    </row>
    <row r="24" spans="1:11" ht="17.25" x14ac:dyDescent="0.25">
      <c r="A24" s="10" t="s">
        <v>18</v>
      </c>
      <c r="B24" s="14">
        <f>(SUM(B22:K22)/($B$8-1))^0.5</f>
        <v>0.49216076867444675</v>
      </c>
    </row>
    <row r="25" spans="1:11" ht="17.25" x14ac:dyDescent="0.25">
      <c r="A25" s="10" t="s">
        <v>19</v>
      </c>
      <c r="B25" s="14">
        <f>(SUM(B23:K23)/($B$8-1))^0.5</f>
        <v>26.865095073967883</v>
      </c>
    </row>
    <row r="26" spans="1:11" x14ac:dyDescent="0.25">
      <c r="A26" s="10" t="s">
        <v>16</v>
      </c>
      <c r="B26" s="15">
        <f>B11</f>
        <v>-48.302752293579758</v>
      </c>
    </row>
    <row r="27" spans="1:11" x14ac:dyDescent="0.25">
      <c r="A27" s="10" t="s">
        <v>17</v>
      </c>
      <c r="B27" s="16">
        <f>B26*B24/B25</f>
        <v>-0.88489244621863383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2050" r:id="rId3">
          <objectPr defaultSize="0" autoPict="0" r:id="rId4">
            <anchor moveWithCells="1" sizeWithCells="1">
              <from>
                <xdr:col>4</xdr:col>
                <xdr:colOff>323850</xdr:colOff>
                <xdr:row>12</xdr:row>
                <xdr:rowOff>76200</xdr:rowOff>
              </from>
              <to>
                <xdr:col>5</xdr:col>
                <xdr:colOff>371475</xdr:colOff>
                <xdr:row>13</xdr:row>
                <xdr:rowOff>123825</xdr:rowOff>
              </to>
            </anchor>
          </objectPr>
        </oleObject>
      </mc:Choice>
      <mc:Fallback>
        <oleObject progId="Equation.DSMT4" shapeId="2050" r:id="rId3"/>
      </mc:Fallback>
    </mc:AlternateContent>
    <mc:AlternateContent xmlns:mc="http://schemas.openxmlformats.org/markup-compatibility/2006">
      <mc:Choice Requires="x14">
        <oleObject progId="Equation.DSMT4" shapeId="2049" r:id="rId5">
          <objectPr defaultSize="0" autoPict="0" r:id="rId6">
            <anchor moveWithCells="1" sizeWithCells="1">
              <from>
                <xdr:col>4</xdr:col>
                <xdr:colOff>323850</xdr:colOff>
                <xdr:row>7</xdr:row>
                <xdr:rowOff>0</xdr:rowOff>
              </from>
              <to>
                <xdr:col>7</xdr:col>
                <xdr:colOff>219075</xdr:colOff>
                <xdr:row>11</xdr:row>
                <xdr:rowOff>123825</xdr:rowOff>
              </to>
            </anchor>
          </objectPr>
        </oleObject>
      </mc:Choice>
      <mc:Fallback>
        <oleObject progId="Equation.DSMT4" shapeId="2049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Соколова</dc:creator>
  <cp:lastModifiedBy>Александр Трепалин</cp:lastModifiedBy>
  <dcterms:created xsi:type="dcterms:W3CDTF">2026-05-11T05:36:58Z</dcterms:created>
  <dcterms:modified xsi:type="dcterms:W3CDTF">2026-05-12T17:35:48Z</dcterms:modified>
</cp:coreProperties>
</file>